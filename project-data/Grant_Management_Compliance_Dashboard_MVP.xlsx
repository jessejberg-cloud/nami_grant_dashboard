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7169a26bc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0fd252e3048d4117"/>
    <x:sheet xmlns:r="http://schemas.openxmlformats.org/officeDocument/2006/relationships" name="Grants" sheetId="2" r:id="R34aa9d1dd39f4f70"/>
    <x:sheet xmlns:r="http://schemas.openxmlformats.org/officeDocument/2006/relationships" name="Requirements" sheetId="3" r:id="Rd9bca0b0624d4f76"/>
    <x:sheet xmlns:r="http://schemas.openxmlformats.org/officeDocument/2006/relationships" name="Milestones" sheetId="4" r:id="Raf99b4b616bd4e97"/>
    <x:sheet xmlns:r="http://schemas.openxmlformats.org/officeDocument/2006/relationships" name="Tasks" sheetId="5" r:id="R24b9ed7acf814b23"/>
    <x:sheet xmlns:r="http://schemas.openxmlformats.org/officeDocument/2006/relationships" name="Evidence" sheetId="6" r:id="Rac5e2a00da8149e9"/>
    <x:sheet xmlns:r="http://schemas.openxmlformats.org/officeDocument/2006/relationships" name="Issues" sheetId="7" r:id="R1ef4b550b5324bbc"/>
    <x:sheet xmlns:r="http://schemas.openxmlformats.org/officeDocument/2006/relationships" name="Financials" sheetId="8" r:id="Re8d2b1015ef84927"/>
    <x:sheet xmlns:r="http://schemas.openxmlformats.org/officeDocument/2006/relationships" name="ProgramMetrics" sheetId="9" r:id="R207c2a1e83b14cdb"/>
    <x:sheet xmlns:r="http://schemas.openxmlformats.org/officeDocument/2006/relationships" name="SourceOfTruth" sheetId="10" r:id="Ra1f548c913444f26"/>
    <x:sheet xmlns:r="http://schemas.openxmlformats.org/officeDocument/2006/relationships" name="ChangeLog" sheetId="11" r:id="R62dc969a4e2f4ce0"/>
    <x:sheet xmlns:r="http://schemas.openxmlformats.org/officeDocument/2006/relationships" name="ActionQueue" sheetId="12" r:id="R5c36c8eb0cb44b65"/>
    <x:sheet xmlns:r="http://schemas.openxmlformats.org/officeDocument/2006/relationships" name="Dashboard" sheetId="13" r:id="R12519890a28a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0%"/>
    <x:numFmt numFmtId="203" formatCode="yyyy-mm-dd hh:mm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43026"/>
      <x:name val="Carlito"/>
    </x:font>
    <x:font>
      <x:b/>
      <x:sz val="11"/>
      <x:color rgb="FF46375E"/>
      <x:name val="Carlito"/>
    </x:font>
    <x:font>
      <x:b/>
      <x:sz val="11"/>
      <x:name val="Carlito"/>
    </x:font>
    <x:font>
      <x:b/>
      <x:sz val="11"/>
      <x:color rgb="FF5A3E2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A5A46"/>
      </x:patternFill>
    </x:fill>
    <x:fill>
      <x:patternFill patternType="solid">
        <x:fgColor rgb="FF2F3A31"/>
      </x:patternFill>
    </x:fill>
    <x:fill>
      <x:patternFill patternType="solid">
        <x:fgColor rgb="FFD9DED5"/>
      </x:patternFill>
    </x:fill>
    <x:fill>
      <x:patternFill patternType="solid">
        <x:fgColor rgb="FFDDD7E7"/>
      </x:patternFill>
    </x:fill>
    <x:fill>
      <x:patternFill patternType="solid">
        <x:fgColor rgb="FFE8D7BC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3" fontId="1" fillId="2" borderId="0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6A2520"/>
      </x:font>
      <x:fill>
        <x:patternFill patternType="solid">
          <x:bgColor rgb="FFE7C7C2"/>
        </x:patternFill>
      </x:fill>
    </x:dxf>
    <x:dxf>
      <x:font>
        <x:b/>
        <x:color rgb="FF5A3E21"/>
      </x:font>
      <x:fill>
        <x:patternFill patternType="solid">
          <x:bgColor rgb="FFE8D7BC"/>
        </x:patternFill>
      </x:fill>
    </x:dxf>
    <x:dxf>
      <x:font>
        <x:b/>
        <x:color rgb="FF6A2520"/>
      </x:font>
      <x:fill>
        <x:patternFill patternType="solid">
          <x:bgColor rgb="FFE7C7C2"/>
        </x:patternFill>
      </x:fill>
    </x:dxf>
    <x:dxf>
      <x:font>
        <x:b/>
        <x:color rgb="FF5A3E21"/>
      </x:font>
      <x:fill>
        <x:patternFill patternType="solid">
          <x:bgColor rgb="FFE8D7B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fa6d9d1c34bf0" /><Relationship Type="http://schemas.openxmlformats.org/officeDocument/2006/relationships/theme" Target="/xl/theme/theme1.xml" Id="R62e9f64224854ffc" /><Relationship Type="http://schemas.openxmlformats.org/officeDocument/2006/relationships/sharedStrings" Target="/xl/sharedStrings.xml" Id="R9b45043955394d16" /><Relationship Type="http://schemas.openxmlformats.org/officeDocument/2006/relationships/worksheet" Target="/xl/worksheets/sheet1.xml" Id="R0fd252e3048d4117" /><Relationship Type="http://schemas.openxmlformats.org/officeDocument/2006/relationships/worksheet" Target="/xl/worksheets/sheet2.xml" Id="R34aa9d1dd39f4f70" /><Relationship Type="http://schemas.openxmlformats.org/officeDocument/2006/relationships/worksheet" Target="/xl/worksheets/sheet3.xml" Id="Rd9bca0b0624d4f76" /><Relationship Type="http://schemas.openxmlformats.org/officeDocument/2006/relationships/worksheet" Target="/xl/worksheets/sheet4.xml" Id="Raf99b4b616bd4e97" /><Relationship Type="http://schemas.openxmlformats.org/officeDocument/2006/relationships/worksheet" Target="/xl/worksheets/sheet5.xml" Id="R24b9ed7acf814b23" /><Relationship Type="http://schemas.openxmlformats.org/officeDocument/2006/relationships/worksheet" Target="/xl/worksheets/sheet6.xml" Id="Rac5e2a00da8149e9" /><Relationship Type="http://schemas.openxmlformats.org/officeDocument/2006/relationships/worksheet" Target="/xl/worksheets/sheet7.xml" Id="R1ef4b550b5324bbc" /><Relationship Type="http://schemas.openxmlformats.org/officeDocument/2006/relationships/worksheet" Target="/xl/worksheets/sheet8.xml" Id="Re8d2b1015ef84927" /><Relationship Type="http://schemas.openxmlformats.org/officeDocument/2006/relationships/worksheet" Target="/xl/worksheets/sheet9.xml" Id="R207c2a1e83b14cdb" /><Relationship Type="http://schemas.openxmlformats.org/officeDocument/2006/relationships/worksheet" Target="/xl/worksheets/sheet10.xml" Id="Ra1f548c913444f26" /><Relationship Type="http://schemas.openxmlformats.org/officeDocument/2006/relationships/worksheet" Target="/xl/worksheets/sheet11.xml" Id="R62dc969a4e2f4ce0" /><Relationship Type="http://schemas.openxmlformats.org/officeDocument/2006/relationships/worksheet" Target="/xl/worksheets/sheet12.xml" Id="R5c36c8eb0cb44b65" /><Relationship Type="http://schemas.openxmlformats.org/officeDocument/2006/relationships/worksheet" Target="/xl/worksheets/sheet13.xml" Id="R12519890a28a455d" /></Relationships>
</file>

<file path=xl/tables/table1.xml><?xml version="1.0" encoding="utf-8"?>
<x:table xmlns:x="http://schemas.openxmlformats.org/spreadsheetml/2006/main" id="1" name="GrantsTable" displayName="GrantsTable" ref="A1:R4" headerRowCount="1" totalsRowCount="0" totalsRowShown="0">
  <x:tableColumns count="18">
    <x:tableColumn id="1" name="Grant ID"/>
    <x:tableColumn id="2" name="Grant Name"/>
    <x:tableColumn id="3" name="Funder"/>
    <x:tableColumn id="4" name="Program"/>
    <x:tableColumn id="5" name="Grant Number"/>
    <x:tableColumn id="6" name="Award Amount"/>
    <x:tableColumn id="7" name="Start Date"/>
    <x:tableColumn id="8" name="End Date"/>
    <x:tableColumn id="9" name="Grant Manager"/>
    <x:tableColumn id="10" name="Responsible Executive"/>
    <x:tableColumn id="11" name="Program Owner"/>
    <x:tableColumn id="12" name="Finance Contact"/>
    <x:tableColumn id="13" name="Funder Contact"/>
    <x:tableColumn id="14" name="Lifecycle Status"/>
    <x:tableColumn id="15" name="Renewal Date"/>
    <x:tableColumn id="16" name="Source Documents URL"/>
    <x:tableColumn id="17" name="Authoritative Finance Source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Table" displayName="RequirementsTable" ref="A1:Q7" headerRowCount="1" totalsRowCount="0" totalsRowShown="0">
  <x:tableColumns count="17">
    <x:tableColumn id="1" name="Requirement ID"/>
    <x:tableColumn id="2" name="Grant ID"/>
    <x:tableColumn id="3" name="Requirement"/>
    <x:tableColumn id="4" name="Category"/>
    <x:tableColumn id="5" name="Funder Deadline"/>
    <x:tableColumn id="6" name="Internal Deadline"/>
    <x:tableColumn id="7" name="Recurrence"/>
    <x:tableColumn id="8" name="Responsible Person"/>
    <x:tableColumn id="9" name="Reviewer"/>
    <x:tableColumn id="10" name="Dependency Summary"/>
    <x:tableColumn id="11" name="Status"/>
    <x:tableColumn id="12" name="Source Document URL"/>
    <x:tableColumn id="13" name="Source Citation/Page"/>
    <x:tableColumn id="14" name="Evidence Required?"/>
    <x:tableColumn id="15" name="Evidence Status"/>
    <x:tableColumn id="16" name="Verification Status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lestonesTable" displayName="MilestonesTable" ref="A1:J8" headerRowCount="1" totalsRowCount="0" totalsRowShown="0">
  <x:tableColumns count="10">
    <x:tableColumn id="1" name="Milestone ID"/>
    <x:tableColumn id="2" name="Grant ID"/>
    <x:tableColumn id="3" name="Requirement ID"/>
    <x:tableColumn id="4" name="Milestone"/>
    <x:tableColumn id="5" name="Milestone Type"/>
    <x:tableColumn id="6" name="Date"/>
    <x:tableColumn id="7" name="Owner"/>
    <x:tableColumn id="8" name="Status"/>
    <x:tableColumn id="9" name="Calendar Event ID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sksTable" displayName="TasksTable" ref="A1:R9" headerRowCount="1" totalsRowCount="0" totalsRowShown="0">
  <x:tableColumns count="18">
    <x:tableColumn id="1" name="Task ID"/>
    <x:tableColumn id="2" name="Grant ID"/>
    <x:tableColumn id="3" name="Requirement ID"/>
    <x:tableColumn id="4" name="Task"/>
    <x:tableColumn id="5" name="Owner"/>
    <x:tableColumn id="6" name="Due Date"/>
    <x:tableColumn id="7" name="Reviewer"/>
    <x:tableColumn id="8" name="Status"/>
    <x:tableColumn id="9" name="Dependency Task ID"/>
    <x:tableColumn id="10" name="Dependency Status"/>
    <x:tableColumn id="11" name="Evidence Required?"/>
    <x:tableColumn id="12" name="Evidence Status"/>
    <x:tableColumn id="13" name="Associate Director Action?"/>
    <x:tableColumn id="14" name="Severity"/>
    <x:tableColumn id="15" name="Escalation Status"/>
    <x:tableColumn id="16" name="Notes"/>
    <x:tableColumn id="17" name="Priority Score"/>
    <x:tableColumn id="18" name="Rank Ke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" displayName="EvidenceTable" ref="A1:M3" headerRowCount="1" totalsRowCount="0" totalsRowShown="0">
  <x:tableColumns count="13">
    <x:tableColumn id="1" name="Evidence ID"/>
    <x:tableColumn id="2" name="Grant ID"/>
    <x:tableColumn id="3" name="Requirement ID"/>
    <x:tableColumn id="4" name="Task ID"/>
    <x:tableColumn id="5" name="Evidence Type"/>
    <x:tableColumn id="6" name="Document/Receipt URL"/>
    <x:tableColumn id="7" name="Submission Date"/>
    <x:tableColumn id="8" name="Submitted By"/>
    <x:tableColumn id="9" name="Confirmation/Receipt"/>
    <x:tableColumn id="10" name="Verified By"/>
    <x:tableColumn id="11" name="Verification Date"/>
    <x:tableColumn id="12" name="Status"/>
    <x:tableColumn id="13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ssuesTable" displayName="IssuesTable" ref="A1:K5" headerRowCount="1" totalsRowCount="0" totalsRowShown="0">
  <x:tableColumns count="11">
    <x:tableColumn id="1" name="Issue ID"/>
    <x:tableColumn id="2" name="Grant ID"/>
    <x:tableColumn id="3" name="Requirement ID"/>
    <x:tableColumn id="4" name="Issue"/>
    <x:tableColumn id="5" name="Severity"/>
    <x:tableColumn id="6" name="Owner"/>
    <x:tableColumn id="7" name="Date Identified"/>
    <x:tableColumn id="8" name="Resolution"/>
    <x:tableColumn id="9" name="Escalation Status"/>
    <x:tableColumn id="10" name="Status"/>
    <x:tableColumn id="11" name="Source/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nancialsTable" displayName="FinancialsTable" ref="A1:L4" headerRowCount="1" totalsRowCount="0" totalsRowShown="0">
  <x:tableColumns count="12">
    <x:tableColumn id="1" name="Grant ID"/>
    <x:tableColumn id="2" name="Award Amount"/>
    <x:tableColumn id="3" name="Amount Spent"/>
    <x:tableColumn id="4" name="Committed Funds"/>
    <x:tableColumn id="5" name="Remaining Funds"/>
    <x:tableColumn id="6" name="Grant % Elapsed"/>
    <x:tableColumn id="7" name="Spend %"/>
    <x:tableColumn id="8" name="Last Authoritative Update"/>
    <x:tableColumn id="9" name="Days Stale"/>
    <x:tableColumn id="10" name="Financial Health"/>
    <x:tableColumn id="11" name="Management Warning"/>
    <x:tableColumn id="12" name="Authoritative Source 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gramMetricsTable" displayName="ProgramMetricsTable" ref="A1:L3" headerRowCount="1" totalsRowCount="0" totalsRowShown="0">
  <x:tableColumns count="12">
    <x:tableColumn id="1" name="Metric ID"/>
    <x:tableColumn id="2" name="Metric Name"/>
    <x:tableColumn id="3" name="Definition"/>
    <x:tableColumn id="4" name="Authoritative Source"/>
    <x:tableColumn id="5" name="Last Update"/>
    <x:tableColumn id="6" name="Value"/>
    <x:tableColumn id="7" name="Target"/>
    <x:tableColumn id="8" name="Unit"/>
    <x:tableColumn id="9" name="Freshness Days"/>
    <x:tableColumn id="10" name="Data Confidence"/>
    <x:tableColumn id="11" name="Used By Grants"/>
    <x:tableColumn id="1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TruthTable" displayName="SourceTruthTable" ref="A1:F9" headerRowCount="1" totalsRowCount="0" totalsRowShown="0">
  <x:tableColumns count="6">
    <x:tableColumn id="1" name="Information Type"/>
    <x:tableColumn id="2" name="Authoritative System"/>
    <x:tableColumn id="3" name="Dashboard Role"/>
    <x:tableColumn id="4" name="Sync Direction"/>
    <x:tableColumn id="5" name="Status"/>
    <x:tableColumn id="6" name="Implementation 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angeLogTable" displayName="ChangeLogTable" ref="A1:J2" headerRowCount="1" totalsRowCount="0" totalsRowShown="0">
  <x:tableColumns count="10">
    <x:tableColumn id="1" name="Change ID"/>
    <x:tableColumn id="2" name="Timestamp"/>
    <x:tableColumn id="3" name="User"/>
    <x:tableColumn id="4" name="Entity Type"/>
    <x:tableColumn id="5" name="Entity ID"/>
    <x:tableColumn id="6" name="Field"/>
    <x:tableColumn id="7" name="Previous Value"/>
    <x:tableColumn id="8" name="New Value"/>
    <x:tableColumn id="9" name="Source/Evidence"/>
    <x:tableColumn id="10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0e7105687d4d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a5e7309cc444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5ffa2cd81c45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5bdb5f2ffe47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89ca8e531742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1485b00c4a40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750bfb2cd249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417b5e407746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63a186a3fa44d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d20dec3280d466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</x:cols>
  <x:sheetData>
    <x:row r="1">
      <x:c r="A1" s="5" t="str">
        <x:v>Setting</x:v>
      </x:c>
      <x:c r="B1" s="5" t="str">
        <x:v>Value</x:v>
      </x:c>
    </x:row>
    <x:row r="2">
      <x:c r="A2" t="str">
        <x:v>Today</x:v>
      </x:c>
      <x:c r="B2" s="10" t="n">
        <x:v>46276</x:v>
      </x:c>
    </x:row>
    <x:row r="3">
      <x:c r="A3" t="str">
        <x:v>Critical score threshold</x:v>
      </x:c>
      <x:c r="B3" t="n">
        <x:v>150</x:v>
      </x:c>
    </x:row>
    <x:row r="4">
      <x:c r="A4" t="str">
        <x:v>Approaching risk threshold</x:v>
      </x:c>
      <x:c r="B4" t="n">
        <x:v>110</x:v>
      </x:c>
    </x:row>
    <x:row r="5">
      <x:c r="A5" t="str">
        <x:v>Decision threshold</x:v>
      </x:c>
      <x:c r="B5" t="n">
        <x:v>85</x:v>
      </x:c>
    </x:row>
    <x:row r="6">
      <x:c r="A6" t="str">
        <x:v>Finance freshness warning days</x:v>
      </x:c>
      <x:c r="B6" t="n">
        <x:v>30</x:v>
      </x:c>
    </x:row>
    <x:row r="7">
      <x:c r="A7" t="str">
        <x:v>Finance freshness critical days</x:v>
      </x:c>
      <x:c r="B7" t="n">
        <x:v>60</x:v>
      </x:c>
    </x:row>
    <x:row r="8">
      <x:c r="A8" t="str">
        <x:v>Default internal lead days</x:v>
      </x:c>
      <x:c r="B8" t="n">
        <x:v>14</x:v>
      </x:c>
    </x:row>
    <x:row r="9">
      <x:c r="A9" t="str">
        <x:v>Default data request lead days</x:v>
      </x:c>
      <x:c r="B9" t="n">
        <x:v>23</x:v>
      </x:c>
    </x:row>
    <x:row r="10">
      <x:c r="A10" t="str">
        <x:v>Default finance lead days</x:v>
      </x:c>
      <x:c r="B10" t="n">
        <x:v>13</x:v>
      </x:c>
    </x:row>
    <x:row r="11">
      <x:c r="A11" t="str">
        <x:v>Default draft lead days</x:v>
      </x:c>
      <x:c r="B11" t="n">
        <x:v>8</x:v>
      </x:c>
    </x:row>
    <x:row r="12">
      <x:c r="A12" t="str">
        <x:v>Default review lead days</x:v>
      </x:c>
      <x:c r="B12" t="n">
        <x:v>5</x:v>
      </x:c>
    </x:row>
    <x:row r="13">
      <x:c r="A13" t="str">
        <x:v>Portfolio owner</x:v>
      </x:c>
      <x:c r="B13" t="str">
        <x:v>Associate Director</x:v>
      </x:c>
    </x:row>
    <x:row r="14">
      <x:c r="A14" t="str">
        <x:v>NOTE</x:v>
      </x:c>
      <x:c r="B14" t="str">
        <x:v>Sample data only. Replace with production values when connected.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20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20" hidden="0" customWidth="1"/>
    <x:col min="10" max="10" width="20" hidden="0" customWidth="1"/>
    <x:col min="11" max="11" width="20" hidden="0" customWidth="1"/>
    <x:col min="12" max="12" width="18" hidden="0" customWidth="1"/>
    <x:col min="13" max="13" width="18" hidden="0" customWidth="1"/>
    <x:col min="14" max="14" width="17" hidden="0" customWidth="1"/>
    <x:col min="15" max="15" width="13" hidden="0" customWidth="1"/>
    <x:col min="16" max="16" width="36" hidden="0" customWidth="1"/>
    <x:col min="17" max="17" width="26" hidden="0" customWidth="1"/>
    <x:col min="18" max="18" width="28" hidden="0" customWidth="1"/>
  </x:cols>
  <x:sheetData>
    <x:row r="1">
      <x:c r="A1" s="5" t="str">
        <x:v>Grant ID</x:v>
      </x:c>
      <x:c r="B1" s="5" t="str">
        <x:v>Grant Name</x:v>
      </x:c>
      <x:c r="C1" s="5" t="str">
        <x:v>Funder</x:v>
      </x:c>
      <x:c r="D1" s="5" t="str">
        <x:v>Program</x:v>
      </x:c>
      <x:c r="E1" s="5" t="str">
        <x:v>Grant Number</x:v>
      </x:c>
      <x:c r="F1" s="18" t="str">
        <x:v>Award Amount</x:v>
      </x:c>
      <x:c r="G1" s="16" t="str">
        <x:v>Start Date</x:v>
      </x:c>
      <x:c r="H1" s="16" t="str">
        <x:v>End Date</x:v>
      </x:c>
      <x:c r="I1" s="5" t="str">
        <x:v>Grant Manager</x:v>
      </x:c>
      <x:c r="J1" s="5" t="str">
        <x:v>Responsible Executive</x:v>
      </x:c>
      <x:c r="K1" s="5" t="str">
        <x:v>Program Owner</x:v>
      </x:c>
      <x:c r="L1" s="5" t="str">
        <x:v>Finance Contact</x:v>
      </x:c>
      <x:c r="M1" s="5" t="str">
        <x:v>Funder Contact</x:v>
      </x:c>
      <x:c r="N1" s="5" t="str">
        <x:v>Lifecycle Status</x:v>
      </x:c>
      <x:c r="O1" s="16" t="str">
        <x:v>Renewal Date</x:v>
      </x:c>
      <x:c r="P1" s="5" t="str">
        <x:v>Source Documents URL</x:v>
      </x:c>
      <x:c r="Q1" s="5" t="str">
        <x:v>Authoritative Finance Source</x:v>
      </x:c>
      <x:c r="R1" s="5" t="str">
        <x:v>Notes</x:v>
      </x:c>
    </x:row>
    <x:row r="2">
      <x:c r="A2" s="12" t="str">
        <x:v>G-001</x:v>
      </x:c>
      <x:c r="B2" s="12" t="str">
        <x:v>SAMPLE — Community Services Grant</x:v>
      </x:c>
      <x:c r="C2" s="12" t="str">
        <x:v>Public Agency</x:v>
      </x:c>
      <x:c r="D2" s="12" t="str">
        <x:v>Community Support</x:v>
      </x:c>
      <x:c r="E2" s="12" t="str">
        <x:v>SAMPLE-001</x:v>
      </x:c>
      <x:c r="F2" s="12" t="n">
        <x:v>250000</x:v>
      </x:c>
      <x:c r="G2" s="12" t="n">
        <x:v>46023</x:v>
      </x:c>
      <x:c r="H2" s="12" t="n">
        <x:v>46387</x:v>
      </x:c>
      <x:c r="I2" s="12" t="str">
        <x:v>Associate Director</x:v>
      </x:c>
      <x:c r="J2" s="12" t="str">
        <x:v>Executive Director</x:v>
      </x:c>
      <x:c r="K2" s="12" t="str">
        <x:v>Program Director</x:v>
      </x:c>
      <x:c r="L2" s="12" t="str">
        <x:v>Finance Lead</x:v>
      </x:c>
      <x:c r="M2" s="12" t="str">
        <x:v>Funder PM</x:v>
      </x:c>
      <x:c r="N2" s="12" t="str">
        <x:v>Active</x:v>
      </x:c>
      <x:c r="O2" s="12" t="n">
        <x:v>46341</x:v>
      </x:c>
      <x:c r="P2" s="12" t="str"/>
      <x:c r="Q2" s="12" t="str">
        <x:v>Accounting system</x:v>
      </x:c>
      <x:c r="R2" s="12" t="str">
        <x:v>Synthetic test case</x:v>
      </x:c>
    </x:row>
    <x:row r="3">
      <x:c r="A3" s="12" t="str">
        <x:v>G-002</x:v>
      </x:c>
      <x:c r="B3" s="12" t="str">
        <x:v>SAMPLE — Family Stabilization Grant</x:v>
      </x:c>
      <x:c r="C3" s="12" t="str">
        <x:v>Community Funder</x:v>
      </x:c>
      <x:c r="D3" s="12" t="str">
        <x:v>Family Services</x:v>
      </x:c>
      <x:c r="E3" s="12" t="str">
        <x:v>SAMPLE-002</x:v>
      </x:c>
      <x:c r="F3" s="12" t="n">
        <x:v>125000</x:v>
      </x:c>
      <x:c r="G3" s="12" t="n">
        <x:v>46113</x:v>
      </x:c>
      <x:c r="H3" s="12" t="n">
        <x:v>46477</x:v>
      </x:c>
      <x:c r="I3" s="12" t="str">
        <x:v>Associate Director</x:v>
      </x:c>
      <x:c r="J3" s="12" t="str">
        <x:v>Executive Director</x:v>
      </x:c>
      <x:c r="K3" s="12" t="str">
        <x:v>Program Director</x:v>
      </x:c>
      <x:c r="L3" s="12" t="str">
        <x:v>Finance Lead</x:v>
      </x:c>
      <x:c r="M3" s="12" t="str">
        <x:v>Program Officer</x:v>
      </x:c>
      <x:c r="N3" s="12" t="str">
        <x:v>Active</x:v>
      </x:c>
      <x:c r="O3" s="12" t="n">
        <x:v>46402</x:v>
      </x:c>
      <x:c r="P3" s="12" t="str"/>
      <x:c r="Q3" s="12" t="str">
        <x:v>Accounting system</x:v>
      </x:c>
      <x:c r="R3" s="12" t="str">
        <x:v>Synthetic test case</x:v>
      </x:c>
    </x:row>
    <x:row r="4">
      <x:c r="A4" s="12" t="str">
        <x:v>G-003</x:v>
      </x:c>
      <x:c r="B4" s="12" t="str">
        <x:v>SAMPLE — Capacity Building Grant</x:v>
      </x:c>
      <x:c r="C4" s="12" t="str">
        <x:v>Private Foundation</x:v>
      </x:c>
      <x:c r="D4" s="12" t="str">
        <x:v>Operations</x:v>
      </x:c>
      <x:c r="E4" s="12" t="str">
        <x:v>SAMPLE-003</x:v>
      </x:c>
      <x:c r="F4" s="12" t="n">
        <x:v>60000</x:v>
      </x:c>
      <x:c r="G4" s="12" t="n">
        <x:v>46204</x:v>
      </x:c>
      <x:c r="H4" s="12" t="n">
        <x:v>46568</x:v>
      </x:c>
      <x:c r="I4" s="12" t="str">
        <x:v>Associate Director</x:v>
      </x:c>
      <x:c r="J4" s="12" t="str">
        <x:v>Executive Director</x:v>
      </x:c>
      <x:c r="K4" s="12" t="str">
        <x:v>Operations Director</x:v>
      </x:c>
      <x:c r="L4" s="12" t="str">
        <x:v>Finance Lead</x:v>
      </x:c>
      <x:c r="M4" s="12" t="str">
        <x:v>Program Officer</x:v>
      </x:c>
      <x:c r="N4" s="12" t="str">
        <x:v>Active</x:v>
      </x:c>
      <x:c r="O4" s="12" t="n">
        <x:v>46447</x:v>
      </x:c>
      <x:c r="P4" s="12" t="str"/>
      <x:c r="Q4" s="12" t="str">
        <x:v>Accounting system</x:v>
      </x:c>
      <x:c r="R4" s="12" t="str">
        <x:v>Synthetic test case</x:v>
      </x:c>
    </x:row>
  </x:sheetData>
  <x:pageMargins left="0.7" right="0.7" top="0.75" bottom="0.75" header="0.3" footer="0.3"/>
  <x:tableParts count="1">
    <x:tablePart xmlns:r="http://schemas.openxmlformats.org/officeDocument/2006/relationships" r:id="Rf40e7105687d4d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3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32" hidden="0" customWidth="1"/>
    <x:col min="11" max="11" width="18" hidden="0" customWidth="1"/>
    <x:col min="12" max="12" width="34" hidden="0" customWidth="1"/>
    <x:col min="13" max="13" width="18" hidden="0" customWidth="1"/>
    <x:col min="14" max="14" width="15" hidden="0" customWidth="1"/>
    <x:col min="15" max="15" width="16" hidden="0" customWidth="1"/>
    <x:col min="16" max="16" width="18" hidden="0" customWidth="1"/>
    <x:col min="17" max="17" width="24" hidden="0" customWidth="1"/>
  </x:cols>
  <x:sheetData>
    <x:row r="1">
      <x:c r="A1" s="5" t="str">
        <x:v>Requirement ID</x:v>
      </x:c>
      <x:c r="B1" s="5" t="str">
        <x:v>Grant ID</x:v>
      </x:c>
      <x:c r="C1" s="5" t="str">
        <x:v>Requirement</x:v>
      </x:c>
      <x:c r="D1" s="5" t="str">
        <x:v>Category</x:v>
      </x:c>
      <x:c r="E1" s="16" t="str">
        <x:v>Funder Deadline</x:v>
      </x:c>
      <x:c r="F1" s="16" t="str">
        <x:v>Internal Deadline</x:v>
      </x:c>
      <x:c r="G1" s="5" t="str">
        <x:v>Recurrence</x:v>
      </x:c>
      <x:c r="H1" s="5" t="str">
        <x:v>Responsible Person</x:v>
      </x:c>
      <x:c r="I1" s="5" t="str">
        <x:v>Reviewer</x:v>
      </x:c>
      <x:c r="J1" s="5" t="str">
        <x:v>Dependency Summary</x:v>
      </x:c>
      <x:c r="K1" s="5" t="str">
        <x:v>Status</x:v>
      </x:c>
      <x:c r="L1" s="5" t="str">
        <x:v>Source Document URL</x:v>
      </x:c>
      <x:c r="M1" s="5" t="str">
        <x:v>Source Citation/Page</x:v>
      </x:c>
      <x:c r="N1" s="5" t="str">
        <x:v>Evidence Required?</x:v>
      </x:c>
      <x:c r="O1" s="5" t="str">
        <x:v>Evidence Status</x:v>
      </x:c>
      <x:c r="P1" s="5" t="str">
        <x:v>Verification Status</x:v>
      </x:c>
      <x:c r="Q1" s="5" t="str">
        <x:v>Notes</x:v>
      </x:c>
    </x:row>
    <x:row r="2">
      <x:c r="A2" s="12" t="str">
        <x:v>R-001</x:v>
      </x:c>
      <x:c r="B2" s="12" t="str">
        <x:v>G-001</x:v>
      </x:c>
      <x:c r="C2" s="12" t="str">
        <x:v>Quarterly narrative report</x:v>
      </x:c>
      <x:c r="D2" s="12" t="str">
        <x:v>Reporting</x:v>
      </x:c>
      <x:c r="E2" s="12" t="n">
        <x:v>46282</x:v>
      </x:c>
      <x:c r="F2" s="12" t="n">
        <x:v>46279</x:v>
      </x:c>
      <x:c r="G2" s="12" t="str">
        <x:v>Quarterly</x:v>
      </x:c>
      <x:c r="H2" s="12" t="str">
        <x:v>Associate Director</x:v>
      </x:c>
      <x:c r="I2" s="12" t="str">
        <x:v>Executive Director</x:v>
      </x:c>
      <x:c r="J2" s="12" t="str">
        <x:v>Program data + finance data</x:v>
      </x:c>
      <x:c r="K2" s="12" t="str">
        <x:v>In Progress</x:v>
      </x:c>
      <x:c r="L2" s="12" t="str"/>
      <x:c r="M2" s="12" t="str">
        <x:v>§ / page TBD</x:v>
      </x:c>
      <x:c r="N2" s="12" t="str">
        <x:v>Yes</x:v>
      </x:c>
      <x:c r="O2" s="12" t="str">
        <x:v>Missing</x:v>
      </x:c>
      <x:c r="P2" s="12" t="str">
        <x:v>Verified</x:v>
      </x:c>
      <x:c r="Q2" s="12" t="str">
        <x:v>Synthetic</x:v>
      </x:c>
    </x:row>
    <x:row r="3">
      <x:c r="A3" s="12" t="str">
        <x:v>R-002</x:v>
      </x:c>
      <x:c r="B3" s="12" t="str">
        <x:v>G-001</x:v>
      </x:c>
      <x:c r="C3" s="12" t="str">
        <x:v>Quarterly financial report</x:v>
      </x:c>
      <x:c r="D3" s="12" t="str">
        <x:v>Financial</x:v>
      </x:c>
      <x:c r="E3" s="12" t="n">
        <x:v>46282</x:v>
      </x:c>
      <x:c r="F3" s="12" t="n">
        <x:v>46279</x:v>
      </x:c>
      <x:c r="G3" s="12" t="str">
        <x:v>Quarterly</x:v>
      </x:c>
      <x:c r="H3" s="12" t="str">
        <x:v>Finance Lead</x:v>
      </x:c>
      <x:c r="I3" s="12" t="str">
        <x:v>Associate Director</x:v>
      </x:c>
      <x:c r="J3" s="12" t="str">
        <x:v>Current ledger extract</x:v>
      </x:c>
      <x:c r="K3" s="12" t="str">
        <x:v>At Risk</x:v>
      </x:c>
      <x:c r="L3" s="12" t="str"/>
      <x:c r="M3" s="12" t="str">
        <x:v>§ / page TBD</x:v>
      </x:c>
      <x:c r="N3" s="12" t="str">
        <x:v>Yes</x:v>
      </x:c>
      <x:c r="O3" s="12" t="str">
        <x:v>Missing</x:v>
      </x:c>
      <x:c r="P3" s="12" t="str">
        <x:v>Verified</x:v>
      </x:c>
      <x:c r="Q3" s="12" t="str">
        <x:v>Synthetic</x:v>
      </x:c>
    </x:row>
    <x:row r="4">
      <x:c r="A4" s="12" t="str">
        <x:v>R-003</x:v>
      </x:c>
      <x:c r="B4" s="12" t="str">
        <x:v>G-002</x:v>
      </x:c>
      <x:c r="C4" s="12" t="str">
        <x:v>Participant outcome update</x:v>
      </x:c>
      <x:c r="D4" s="12" t="str">
        <x:v>Deliverable</x:v>
      </x:c>
      <x:c r="E4" s="12" t="n">
        <x:v>46310</x:v>
      </x:c>
      <x:c r="F4" s="12" t="n">
        <x:v>46303</x:v>
      </x:c>
      <x:c r="G4" s="12" t="str">
        <x:v>Quarterly</x:v>
      </x:c>
      <x:c r="H4" s="12" t="str">
        <x:v>Program Director</x:v>
      </x:c>
      <x:c r="I4" s="12" t="str">
        <x:v>Associate Director</x:v>
      </x:c>
      <x:c r="J4" s="12" t="str">
        <x:v>Outcome metric refresh</x:v>
      </x:c>
      <x:c r="K4" s="12" t="str">
        <x:v>Not Started</x:v>
      </x:c>
      <x:c r="L4" s="12" t="str"/>
      <x:c r="M4" s="12" t="str">
        <x:v>§ / page TBD</x:v>
      </x:c>
      <x:c r="N4" s="12" t="str">
        <x:v>Yes</x:v>
      </x:c>
      <x:c r="O4" s="12" t="str">
        <x:v>Missing</x:v>
      </x:c>
      <x:c r="P4" s="12" t="str">
        <x:v>Verified</x:v>
      </x:c>
      <x:c r="Q4" s="12" t="str">
        <x:v>Synthetic</x:v>
      </x:c>
    </x:row>
    <x:row r="5">
      <x:c r="A5" s="12" t="str">
        <x:v>R-004</x:v>
      </x:c>
      <x:c r="B5" s="12" t="str">
        <x:v>G-003</x:v>
      </x:c>
      <x:c r="C5" s="12" t="str">
        <x:v>Renewal go/no-go decision</x:v>
      </x:c>
      <x:c r="D5" s="12" t="str">
        <x:v>Renewal</x:v>
      </x:c>
      <x:c r="E5" s="12" t="n">
        <x:v>46283</x:v>
      </x:c>
      <x:c r="F5" s="12" t="n">
        <x:v>46281</x:v>
      </x:c>
      <x:c r="G5" s="12" t="str">
        <x:v>Annual</x:v>
      </x:c>
      <x:c r="H5" s="12" t="str">
        <x:v>Executive Director</x:v>
      </x:c>
      <x:c r="I5" s="12" t="str">
        <x:v>Associate Director</x:v>
      </x:c>
      <x:c r="J5" s="12" t="str">
        <x:v>Leadership decision</x:v>
      </x:c>
      <x:c r="K5" s="12" t="str">
        <x:v>Decision Needed</x:v>
      </x:c>
      <x:c r="L5" s="12" t="str"/>
      <x:c r="M5" s="12" t="str">
        <x:v>§ / page TBD</x:v>
      </x:c>
      <x:c r="N5" s="12" t="str">
        <x:v>No</x:v>
      </x:c>
      <x:c r="O5" s="12" t="str">
        <x:v>N/A</x:v>
      </x:c>
      <x:c r="P5" s="12" t="str">
        <x:v>Verified</x:v>
      </x:c>
      <x:c r="Q5" s="12" t="str">
        <x:v>Synthetic</x:v>
      </x:c>
    </x:row>
    <x:row r="6">
      <x:c r="A6" s="12" t="str">
        <x:v>R-005</x:v>
      </x:c>
      <x:c r="B6" s="12" t="str">
        <x:v>G-001</x:v>
      </x:c>
      <x:c r="C6" s="12" t="str">
        <x:v>Insurance certificate maintained</x:v>
      </x:c>
      <x:c r="D6" s="12" t="str">
        <x:v>Compliance</x:v>
      </x:c>
      <x:c r="E6" s="12" t="n">
        <x:v>46357</x:v>
      </x:c>
      <x:c r="F6" s="12" t="n">
        <x:v>46341</x:v>
      </x:c>
      <x:c r="G6" s="12" t="str">
        <x:v>Annual</x:v>
      </x:c>
      <x:c r="H6" s="12" t="str">
        <x:v>Operations Director</x:v>
      </x:c>
      <x:c r="I6" s="12" t="str">
        <x:v>Associate Director</x:v>
      </x:c>
      <x:c r="J6" s="12" t="str">
        <x:v>Current COI</x:v>
      </x:c>
      <x:c r="K6" s="12" t="str">
        <x:v>Not Started</x:v>
      </x:c>
      <x:c r="L6" s="12" t="str"/>
      <x:c r="M6" s="12" t="str">
        <x:v>§ / page TBD</x:v>
      </x:c>
      <x:c r="N6" s="12" t="str">
        <x:v>Yes</x:v>
      </x:c>
      <x:c r="O6" s="12" t="str">
        <x:v>Missing</x:v>
      </x:c>
      <x:c r="P6" s="12" t="str">
        <x:v>Verified</x:v>
      </x:c>
      <x:c r="Q6" s="12" t="str">
        <x:v>Synthetic</x:v>
      </x:c>
    </x:row>
    <x:row r="7">
      <x:c r="A7" s="12" t="str">
        <x:v>R-006</x:v>
      </x:c>
      <x:c r="B7" s="12" t="str">
        <x:v>G-002</x:v>
      </x:c>
      <x:c r="C7" s="12" t="str">
        <x:v>Final closeout package</x:v>
      </x:c>
      <x:c r="D7" s="12" t="str">
        <x:v>Closeout</x:v>
      </x:c>
      <x:c r="E7" s="12" t="n">
        <x:v>46507</x:v>
      </x:c>
      <x:c r="F7" s="12" t="n">
        <x:v>46487</x:v>
      </x:c>
      <x:c r="G7" s="12" t="str">
        <x:v>One-time</x:v>
      </x:c>
      <x:c r="H7" s="12" t="str">
        <x:v>Associate Director</x:v>
      </x:c>
      <x:c r="I7" s="12" t="str">
        <x:v>Executive Director</x:v>
      </x:c>
      <x:c r="J7" s="12" t="str">
        <x:v>Final program + financial reports</x:v>
      </x:c>
      <x:c r="K7" s="12" t="str">
        <x:v>Not Started</x:v>
      </x:c>
      <x:c r="L7" s="12" t="str"/>
      <x:c r="M7" s="12" t="str">
        <x:v>§ / page TBD</x:v>
      </x:c>
      <x:c r="N7" s="12" t="str">
        <x:v>Yes</x:v>
      </x:c>
      <x:c r="O7" s="12" t="str">
        <x:v>Missing</x:v>
      </x:c>
      <x:c r="P7" s="12" t="str">
        <x:v>Verified</x:v>
      </x:c>
      <x:c r="Q7" s="12" t="str">
        <x:v>Synthetic</x:v>
      </x:c>
    </x:row>
  </x:sheetData>
  <x:dataValidations count="2">
    <x:dataValidation type="list" sqref="K2:K500">
      <x:formula1>"Not Started,In Progress,At Risk,Decision Needed,Submitted,Complete,Closed"</x:formula1>
    </x:dataValidation>
    <x:dataValidation type="list" sqref="P2:P500">
      <x:formula1>"Proposed,Verified,Modified,Not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a5e7309cc444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4" hidden="0" customWidth="1"/>
    <x:col min="4" max="4" width="30" hidden="0" customWidth="1"/>
    <x:col min="5" max="5" width="20" hidden="0" customWidth="1"/>
    <x:col min="6" max="6" width="14" hidden="0" customWidth="1"/>
    <x:col min="7" max="7" width="20" hidden="0" customWidth="1"/>
    <x:col min="8" max="8" width="16" hidden="0" customWidth="1"/>
    <x:col min="9" max="9" width="22" hidden="0" customWidth="1"/>
    <x:col min="10" max="10" width="24" hidden="0" customWidth="1"/>
  </x:cols>
  <x:sheetData>
    <x:row r="1">
      <x:c r="A1" s="5" t="str">
        <x:v>Milestone ID</x:v>
      </x:c>
      <x:c r="B1" s="5" t="str">
        <x:v>Grant ID</x:v>
      </x:c>
      <x:c r="C1" s="5" t="str">
        <x:v>Requirement ID</x:v>
      </x:c>
      <x:c r="D1" s="5" t="str">
        <x:v>Milestone</x:v>
      </x:c>
      <x:c r="E1" s="5" t="str">
        <x:v>Milestone Type</x:v>
      </x:c>
      <x:c r="F1" s="16" t="str">
        <x:v>Date</x:v>
      </x:c>
      <x:c r="G1" s="5" t="str">
        <x:v>Owner</x:v>
      </x:c>
      <x:c r="H1" s="5" t="str">
        <x:v>Status</x:v>
      </x:c>
      <x:c r="I1" s="5" t="str">
        <x:v>Calendar Event ID</x:v>
      </x:c>
      <x:c r="J1" s="5" t="str">
        <x:v>Notes</x:v>
      </x:c>
    </x:row>
    <x:row r="2">
      <x:c r="A2" s="12" t="str">
        <x:v>M-001</x:v>
      </x:c>
      <x:c r="B2" s="12" t="str">
        <x:v>G-001</x:v>
      </x:c>
      <x:c r="C2" s="12" t="str">
        <x:v>R-001</x:v>
      </x:c>
      <x:c r="D2" s="12" t="str">
        <x:v>Program data due</x:v>
      </x:c>
      <x:c r="E2" s="12" t="str">
        <x:v>Dependency</x:v>
      </x:c>
      <x:c r="F2" s="12" t="n">
        <x:v>46275</x:v>
      </x:c>
      <x:c r="G2" s="12" t="str">
        <x:v>Program Director</x:v>
      </x:c>
      <x:c r="H2" s="12" t="str">
        <x:v>Overdue</x:v>
      </x:c>
      <x:c r="I2" s="12" t="str"/>
      <x:c r="J2" s="12" t="str">
        <x:v>Synthetic</x:v>
      </x:c>
    </x:row>
    <x:row r="3">
      <x:c r="A3" s="12" t="str">
        <x:v>M-002</x:v>
      </x:c>
      <x:c r="B3" s="12" t="str">
        <x:v>G-001</x:v>
      </x:c>
      <x:c r="C3" s="12" t="str">
        <x:v>R-002</x:v>
      </x:c>
      <x:c r="D3" s="12" t="str">
        <x:v>Finance data due</x:v>
      </x:c>
      <x:c r="E3" s="12" t="str">
        <x:v>Dependency</x:v>
      </x:c>
      <x:c r="F3" s="12" t="n">
        <x:v>46276</x:v>
      </x:c>
      <x:c r="G3" s="12" t="str">
        <x:v>Finance Lead</x:v>
      </x:c>
      <x:c r="H3" s="12" t="str">
        <x:v>Due</x:v>
      </x:c>
      <x:c r="I3" s="12" t="str"/>
      <x:c r="J3" s="12" t="str">
        <x:v>Synthetic</x:v>
      </x:c>
    </x:row>
    <x:row r="4">
      <x:c r="A4" s="12" t="str">
        <x:v>M-003</x:v>
      </x:c>
      <x:c r="B4" s="12" t="str">
        <x:v>G-001</x:v>
      </x:c>
      <x:c r="C4" s="12" t="str">
        <x:v>R-001</x:v>
      </x:c>
      <x:c r="D4" s="12" t="str">
        <x:v>Executive review</x:v>
      </x:c>
      <x:c r="E4" s="12" t="str">
        <x:v>Approval</x:v>
      </x:c>
      <x:c r="F4" s="12" t="n">
        <x:v>46279</x:v>
      </x:c>
      <x:c r="G4" s="12" t="str">
        <x:v>Executive Director</x:v>
      </x:c>
      <x:c r="H4" s="12" t="str">
        <x:v>Upcoming</x:v>
      </x:c>
      <x:c r="I4" s="12" t="str"/>
      <x:c r="J4" s="12" t="str">
        <x:v>Synthetic</x:v>
      </x:c>
    </x:row>
    <x:row r="5">
      <x:c r="A5" s="12" t="str">
        <x:v>M-004</x:v>
      </x:c>
      <x:c r="B5" s="12" t="str">
        <x:v>G-001</x:v>
      </x:c>
      <x:c r="C5" s="12" t="str">
        <x:v>R-001</x:v>
      </x:c>
      <x:c r="D5" s="12" t="str">
        <x:v>Funder report due</x:v>
      </x:c>
      <x:c r="E5" s="12" t="str">
        <x:v>External deadline</x:v>
      </x:c>
      <x:c r="F5" s="12" t="n">
        <x:v>46282</x:v>
      </x:c>
      <x:c r="G5" s="12" t="str">
        <x:v>Associate Director</x:v>
      </x:c>
      <x:c r="H5" s="12" t="str">
        <x:v>Upcoming</x:v>
      </x:c>
      <x:c r="I5" s="12" t="str"/>
      <x:c r="J5" s="12" t="str">
        <x:v>Synthetic</x:v>
      </x:c>
    </x:row>
    <x:row r="6">
      <x:c r="A6" s="12" t="str">
        <x:v>M-005</x:v>
      </x:c>
      <x:c r="B6" s="12" t="str">
        <x:v>G-003</x:v>
      </x:c>
      <x:c r="C6" s="12" t="str">
        <x:v>R-004</x:v>
      </x:c>
      <x:c r="D6" s="12" t="str">
        <x:v>Renewal decision</x:v>
      </x:c>
      <x:c r="E6" s="12" t="str">
        <x:v>Decision</x:v>
      </x:c>
      <x:c r="F6" s="12" t="n">
        <x:v>46281</x:v>
      </x:c>
      <x:c r="G6" s="12" t="str">
        <x:v>Executive Director</x:v>
      </x:c>
      <x:c r="H6" s="12" t="str">
        <x:v>Upcoming</x:v>
      </x:c>
      <x:c r="I6" s="12" t="str"/>
      <x:c r="J6" s="12" t="str">
        <x:v>Synthetic</x:v>
      </x:c>
    </x:row>
    <x:row r="7">
      <x:c r="A7" s="12" t="str">
        <x:v>M-006</x:v>
      </x:c>
      <x:c r="B7" s="12" t="str">
        <x:v>G-003</x:v>
      </x:c>
      <x:c r="C7" s="12" t="str">
        <x:v>R-004</x:v>
      </x:c>
      <x:c r="D7" s="12" t="str">
        <x:v>Renewal external date</x:v>
      </x:c>
      <x:c r="E7" s="12" t="str">
        <x:v>External deadline</x:v>
      </x:c>
      <x:c r="F7" s="12" t="n">
        <x:v>46283</x:v>
      </x:c>
      <x:c r="G7" s="12" t="str">
        <x:v>Associate Director</x:v>
      </x:c>
      <x:c r="H7" s="12" t="str">
        <x:v>Upcoming</x:v>
      </x:c>
      <x:c r="I7" s="12" t="str"/>
      <x:c r="J7" s="12" t="str">
        <x:v>Synthetic</x:v>
      </x:c>
    </x:row>
    <x:row r="8">
      <x:c r="A8" s="12" t="str">
        <x:v>M-007</x:v>
      </x:c>
      <x:c r="B8" s="12" t="str">
        <x:v>G-002</x:v>
      </x:c>
      <x:c r="C8" s="12" t="str">
        <x:v>R-003</x:v>
      </x:c>
      <x:c r="D8" s="12" t="str">
        <x:v>Outcome data refresh</x:v>
      </x:c>
      <x:c r="E8" s="12" t="str">
        <x:v>Dependency</x:v>
      </x:c>
      <x:c r="F8" s="12" t="n">
        <x:v>46303</x:v>
      </x:c>
      <x:c r="G8" s="12" t="str">
        <x:v>Program Director</x:v>
      </x:c>
      <x:c r="H8" s="12" t="str">
        <x:v>Upcoming</x:v>
      </x:c>
      <x:c r="I8" s="12" t="str"/>
      <x:c r="J8" s="12" t="str">
        <x:v>Synthetic</x:v>
      </x:c>
    </x:row>
  </x:sheetData>
  <x:pageMargins left="0.7" right="0.7" top="0.75" bottom="0.75" header="0.3" footer="0.3"/>
  <x:tableParts count="1">
    <x:tablePart xmlns:r="http://schemas.openxmlformats.org/officeDocument/2006/relationships" r:id="Rf65ffa2cd81c45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4" hidden="0" customWidth="1"/>
    <x:col min="4" max="4" width="34" hidden="0" customWidth="1"/>
    <x:col min="5" max="5" width="20" hidden="0" customWidth="1"/>
    <x:col min="6" max="6" width="13" hidden="0" customWidth="1"/>
    <x:col min="7" max="7" width="20" hidden="0" customWidth="1"/>
    <x:col min="8" max="8" width="18" hidden="0" customWidth="1"/>
    <x:col min="9" max="9" width="16" hidden="0" customWidth="1"/>
    <x:col min="10" max="10" width="18" hidden="0" customWidth="1"/>
    <x:col min="11" max="11" width="15" hidden="0" customWidth="1"/>
    <x:col min="12" max="12" width="16" hidden="0" customWidth="1"/>
    <x:col min="13" max="13" width="18" hidden="0" customWidth="1"/>
    <x:col min="14" max="14" width="12" hidden="0" customWidth="1"/>
    <x:col min="15" max="15" width="18" hidden="0" customWidth="1"/>
    <x:col min="16" max="16" width="32" hidden="0" customWidth="1"/>
    <x:col min="17" max="17" width="14" hidden="0" customWidth="1"/>
    <x:col min="18" max="18" width="13" hidden="0" customWidth="1"/>
  </x:cols>
  <x:sheetData>
    <x:row r="1">
      <x:c r="A1" s="5" t="str">
        <x:v>Task ID</x:v>
      </x:c>
      <x:c r="B1" s="5" t="str">
        <x:v>Grant ID</x:v>
      </x:c>
      <x:c r="C1" s="5" t="str">
        <x:v>Requirement ID</x:v>
      </x:c>
      <x:c r="D1" s="5" t="str">
        <x:v>Task</x:v>
      </x:c>
      <x:c r="E1" s="5" t="str">
        <x:v>Owner</x:v>
      </x:c>
      <x:c r="F1" s="16" t="str">
        <x:v>Due Date</x:v>
      </x:c>
      <x:c r="G1" s="5" t="str">
        <x:v>Reviewer</x:v>
      </x:c>
      <x:c r="H1" s="5" t="str">
        <x:v>Status</x:v>
      </x:c>
      <x:c r="I1" s="5" t="str">
        <x:v>Dependency Task ID</x:v>
      </x:c>
      <x:c r="J1" s="5" t="str">
        <x:v>Dependency Status</x:v>
      </x:c>
      <x:c r="K1" s="5" t="str">
        <x:v>Evidence Required?</x:v>
      </x:c>
      <x:c r="L1" s="5" t="str">
        <x:v>Evidence Status</x:v>
      </x:c>
      <x:c r="M1" s="5" t="str">
        <x:v>Associate Director Action?</x:v>
      </x:c>
      <x:c r="N1" s="5" t="str">
        <x:v>Severity</x:v>
      </x:c>
      <x:c r="O1" s="5" t="str">
        <x:v>Escalation Status</x:v>
      </x:c>
      <x:c r="P1" s="5" t="str">
        <x:v>Notes</x:v>
      </x:c>
      <x:c r="Q1" s="5" t="str">
        <x:v>Priority Score</x:v>
      </x:c>
      <x:c r="R1" s="5" t="str">
        <x:v>Rank Key</x:v>
      </x:c>
    </x:row>
    <x:row r="2">
      <x:c r="A2" s="12" t="str">
        <x:v>T-001</x:v>
      </x:c>
      <x:c r="B2" s="12" t="str">
        <x:v>G-001</x:v>
      </x:c>
      <x:c r="C2" s="12" t="str">
        <x:v>R-001</x:v>
      </x:c>
      <x:c r="D2" s="12" t="str">
        <x:v>Obtain participant/program data</x:v>
      </x:c>
      <x:c r="E2" s="12" t="str">
        <x:v>Program Director</x:v>
      </x:c>
      <x:c r="F2" s="12" t="n">
        <x:v>46275</x:v>
      </x:c>
      <x:c r="G2" s="12" t="str">
        <x:v>Associate Director</x:v>
      </x:c>
      <x:c r="H2" s="12" t="str">
        <x:v>Overdue</x:v>
      </x:c>
      <x:c r="I2" s="12" t="str"/>
      <x:c r="J2" s="12" t="str">
        <x:f>IF(I2="","",IFERROR(INDEX($H$2:$H$500,MATCH(I2,$A$2:$A$500,0)),"MISSING"))</x:f>
      </x:c>
      <x:c r="K2" s="12" t="str">
        <x:v>No</x:v>
      </x:c>
      <x:c r="L2" s="12" t="str">
        <x:v>N/A</x:v>
      </x:c>
      <x:c r="M2" s="12" t="str">
        <x:v>No</x:v>
      </x:c>
      <x:c r="N2" s="12" t="str">
        <x:v>High</x:v>
      </x:c>
      <x:c r="O2" s="12" t="str">
        <x:v>Escalated</x:v>
      </x:c>
      <x:c r="P2" s="12" t="str">
        <x:v>Program data was due yesterday</x:v>
      </x:c>
      <x:c r="Q2" s="12" t="n">
        <x:f>IF(H2="Complete",-999,IF(M2="Yes",70,0)+IF(F2&lt;Config!$B$2,70,IF(F2-Config!$B$2&lt;=3,50,IF(F2-Config!$B$2&lt;=7,35,IF(F2-Config!$B$2&lt;=14,20,5))))+IF(N2="Critical",60,IF(N2="High",40,IF(N2="Medium",20,5)))+IF(AND(I2&lt;&gt;"",J2&lt;&gt;"Complete"),35,0)+IF(AND(K2="Yes",L2&lt;&gt;"Complete"),20,0)+IF(O2="Escalated",25,0)+IF(H2="Decision Needed",25,0))</x:f>
        <x:v>135</x:v>
      </x:c>
      <x:c r="R2" s="12" t="n">
        <x:f>Q2+ROW()/100000</x:f>
        <x:v>135.00002</x:v>
      </x:c>
    </x:row>
    <x:row r="3">
      <x:c r="A3" s="12" t="str">
        <x:v>T-002</x:v>
      </x:c>
      <x:c r="B3" s="12" t="str">
        <x:v>G-001</x:v>
      </x:c>
      <x:c r="C3" s="12" t="str">
        <x:v>R-002</x:v>
      </x:c>
      <x:c r="D3" s="12" t="str">
        <x:v>Obtain current finance data</x:v>
      </x:c>
      <x:c r="E3" s="12" t="str">
        <x:v>Finance Lead</x:v>
      </x:c>
      <x:c r="F3" s="12" t="n">
        <x:v>46276</x:v>
      </x:c>
      <x:c r="G3" s="12" t="str">
        <x:v>Associate Director</x:v>
      </x:c>
      <x:c r="H3" s="12" t="str">
        <x:v>Not Started</x:v>
      </x:c>
      <x:c r="I3" s="12" t="str"/>
      <x:c r="J3" s="12" t="str">
        <x:f>IF(I3="","",IFERROR(INDEX($H$2:$H$500,MATCH(I3,$A$2:$A$500,0)),"MISSING"))</x:f>
      </x:c>
      <x:c r="K3" s="12" t="str">
        <x:v>No</x:v>
      </x:c>
      <x:c r="L3" s="12" t="str">
        <x:v>N/A</x:v>
      </x:c>
      <x:c r="M3" s="12" t="str">
        <x:v>No</x:v>
      </x:c>
      <x:c r="N3" s="12" t="str">
        <x:v>Critical</x:v>
      </x:c>
      <x:c r="O3" s="12" t="str">
        <x:v>Escalated</x:v>
      </x:c>
      <x:c r="P3" s="12" t="str">
        <x:v>Required for report</x:v>
      </x:c>
      <x:c r="Q3" s="12" t="n">
        <x:f>IF(H3="Complete",-999,IF(M3="Yes",70,0)+IF(F3&lt;Config!$B$2,70,IF(F3-Config!$B$2&lt;=3,50,IF(F3-Config!$B$2&lt;=7,35,IF(F3-Config!$B$2&lt;=14,20,5))))+IF(N3="Critical",60,IF(N3="High",40,IF(N3="Medium",20,5)))+IF(AND(I3&lt;&gt;"",J3&lt;&gt;"Complete"),35,0)+IF(AND(K3="Yes",L3&lt;&gt;"Complete"),20,0)+IF(O3="Escalated",25,0)+IF(H3="Decision Needed",25,0))</x:f>
        <x:v>135</x:v>
      </x:c>
      <x:c r="R3" s="12" t="n">
        <x:f>Q3+ROW()/100000</x:f>
        <x:v>135.00003</x:v>
      </x:c>
    </x:row>
    <x:row r="4">
      <x:c r="A4" s="12" t="str">
        <x:v>T-003</x:v>
      </x:c>
      <x:c r="B4" s="12" t="str">
        <x:v>G-001</x:v>
      </x:c>
      <x:c r="C4" s="12" t="str">
        <x:v>R-001</x:v>
      </x:c>
      <x:c r="D4" s="12" t="str">
        <x:v>Draft narrative report</x:v>
      </x:c>
      <x:c r="E4" s="12" t="str">
        <x:v>Associate Director</x:v>
      </x:c>
      <x:c r="F4" s="12" t="n">
        <x:v>46278</x:v>
      </x:c>
      <x:c r="G4" s="12" t="str">
        <x:v>Executive Director</x:v>
      </x:c>
      <x:c r="H4" s="12" t="str">
        <x:v>Blocked</x:v>
      </x:c>
      <x:c r="I4" s="12" t="str">
        <x:v>T-001</x:v>
      </x:c>
      <x:c r="J4" s="12" t="str">
        <x:f>IF(I4="","",IFERROR(INDEX($H$2:$H$500,MATCH(I4,$A$2:$A$500,0)),"MISSING"))</x:f>
        <x:v>Overdue</x:v>
      </x:c>
      <x:c r="K4" s="12" t="str">
        <x:v>No</x:v>
      </x:c>
      <x:c r="L4" s="12" t="str">
        <x:v>N/A</x:v>
      </x:c>
      <x:c r="M4" s="12" t="str">
        <x:v>Yes</x:v>
      </x:c>
      <x:c r="N4" s="12" t="str">
        <x:v>High</x:v>
      </x:c>
      <x:c r="O4" s="12" t="str">
        <x:v>Open</x:v>
      </x:c>
      <x:c r="P4" s="12" t="str">
        <x:v>Blocked by program data</x:v>
      </x:c>
      <x:c r="Q4" s="12" t="n">
        <x:f>IF(H4="Complete",-999,IF(M4="Yes",70,0)+IF(F4&lt;Config!$B$2,70,IF(F4-Config!$B$2&lt;=3,50,IF(F4-Config!$B$2&lt;=7,35,IF(F4-Config!$B$2&lt;=14,20,5))))+IF(N4="Critical",60,IF(N4="High",40,IF(N4="Medium",20,5)))+IF(AND(I4&lt;&gt;"",J4&lt;&gt;"Complete"),35,0)+IF(AND(K4="Yes",L4&lt;&gt;"Complete"),20,0)+IF(O4="Escalated",25,0)+IF(H4="Decision Needed",25,0))</x:f>
        <x:v>195</x:v>
      </x:c>
      <x:c r="R4" s="12" t="n">
        <x:f>Q4+ROW()/100000</x:f>
        <x:v>195.00004</x:v>
      </x:c>
    </x:row>
    <x:row r="5">
      <x:c r="A5" s="12" t="str">
        <x:v>T-004</x:v>
      </x:c>
      <x:c r="B5" s="12" t="str">
        <x:v>G-001</x:v>
      </x:c>
      <x:c r="C5" s="12" t="str">
        <x:v>R-002</x:v>
      </x:c>
      <x:c r="D5" s="12" t="str">
        <x:v>Review financial report</x:v>
      </x:c>
      <x:c r="E5" s="12" t="str">
        <x:v>Associate Director</x:v>
      </x:c>
      <x:c r="F5" s="12" t="n">
        <x:v>46279</x:v>
      </x:c>
      <x:c r="G5" s="12" t="str">
        <x:v>Executive Director</x:v>
      </x:c>
      <x:c r="H5" s="12" t="str">
        <x:v>Not Started</x:v>
      </x:c>
      <x:c r="I5" s="12" t="str">
        <x:v>T-002</x:v>
      </x:c>
      <x:c r="J5" s="12" t="str">
        <x:f>IF(I5="","",IFERROR(INDEX($H$2:$H$500,MATCH(I5,$A$2:$A$500,0)),"MISSING"))</x:f>
        <x:v>Not Started</x:v>
      </x:c>
      <x:c r="K5" s="12" t="str">
        <x:v>Yes</x:v>
      </x:c>
      <x:c r="L5" s="12" t="str">
        <x:v>Missing</x:v>
      </x:c>
      <x:c r="M5" s="12" t="str">
        <x:v>Yes</x:v>
      </x:c>
      <x:c r="N5" s="12" t="str">
        <x:v>Critical</x:v>
      </x:c>
      <x:c r="O5" s="12" t="str">
        <x:v>Open</x:v>
      </x:c>
      <x:c r="P5" s="12" t="str">
        <x:v>Finance source stale</x:v>
      </x:c>
      <x:c r="Q5" s="12" t="n">
        <x:f>IF(H5="Complete",-999,IF(M5="Yes",70,0)+IF(F5&lt;Config!$B$2,70,IF(F5-Config!$B$2&lt;=3,50,IF(F5-Config!$B$2&lt;=7,35,IF(F5-Config!$B$2&lt;=14,20,5))))+IF(N5="Critical",60,IF(N5="High",40,IF(N5="Medium",20,5)))+IF(AND(I5&lt;&gt;"",J5&lt;&gt;"Complete"),35,0)+IF(AND(K5="Yes",L5&lt;&gt;"Complete"),20,0)+IF(O5="Escalated",25,0)+IF(H5="Decision Needed",25,0))</x:f>
        <x:v>235</x:v>
      </x:c>
      <x:c r="R5" s="12" t="n">
        <x:f>Q5+ROW()/100000</x:f>
        <x:v>235.00005</x:v>
      </x:c>
    </x:row>
    <x:row r="6">
      <x:c r="A6" s="12" t="str">
        <x:v>T-005</x:v>
      </x:c>
      <x:c r="B6" s="12" t="str">
        <x:v>G-003</x:v>
      </x:c>
      <x:c r="C6" s="12" t="str">
        <x:v>R-004</x:v>
      </x:c>
      <x:c r="D6" s="12" t="str">
        <x:v>Make renewal go/no-go decision</x:v>
      </x:c>
      <x:c r="E6" s="12" t="str">
        <x:v>Executive Director</x:v>
      </x:c>
      <x:c r="F6" s="12" t="n">
        <x:v>46281</x:v>
      </x:c>
      <x:c r="G6" s="12" t="str">
        <x:v>Associate Director</x:v>
      </x:c>
      <x:c r="H6" s="12" t="str">
        <x:v>Decision Needed</x:v>
      </x:c>
      <x:c r="I6" s="12" t="str"/>
      <x:c r="J6" s="12" t="str">
        <x:f>IF(I6="","",IFERROR(INDEX($H$2:$H$500,MATCH(I6,$A$2:$A$500,0)),"MISSING"))</x:f>
      </x:c>
      <x:c r="K6" s="12" t="str">
        <x:v>No</x:v>
      </x:c>
      <x:c r="L6" s="12" t="str">
        <x:v>N/A</x:v>
      </x:c>
      <x:c r="M6" s="12" t="str">
        <x:v>Yes</x:v>
      </x:c>
      <x:c r="N6" s="12" t="str">
        <x:v>Medium</x:v>
      </x:c>
      <x:c r="O6" s="12" t="str">
        <x:v>Open</x:v>
      </x:c>
      <x:c r="P6" s="12" t="str">
        <x:v>Leadership decision needed</x:v>
      </x:c>
      <x:c r="Q6" s="12" t="n">
        <x:f>IF(H6="Complete",-999,IF(M6="Yes",70,0)+IF(F6&lt;Config!$B$2,70,IF(F6-Config!$B$2&lt;=3,50,IF(F6-Config!$B$2&lt;=7,35,IF(F6-Config!$B$2&lt;=14,20,5))))+IF(N6="Critical",60,IF(N6="High",40,IF(N6="Medium",20,5)))+IF(AND(I6&lt;&gt;"",J6&lt;&gt;"Complete"),35,0)+IF(AND(K6="Yes",L6&lt;&gt;"Complete"),20,0)+IF(O6="Escalated",25,0)+IF(H6="Decision Needed",25,0))</x:f>
        <x:v>150</x:v>
      </x:c>
      <x:c r="R6" s="12" t="n">
        <x:f>Q6+ROW()/100000</x:f>
        <x:v>150.00006</x:v>
      </x:c>
    </x:row>
    <x:row r="7">
      <x:c r="A7" s="12" t="str">
        <x:v>T-006</x:v>
      </x:c>
      <x:c r="B7" s="12" t="str">
        <x:v>G-001</x:v>
      </x:c>
      <x:c r="C7" s="12" t="str">
        <x:v>R-001</x:v>
      </x:c>
      <x:c r="D7" s="12" t="str">
        <x:v>Submit quarterly report</x:v>
      </x:c>
      <x:c r="E7" s="12" t="str">
        <x:v>Associate Director</x:v>
      </x:c>
      <x:c r="F7" s="12" t="n">
        <x:v>46282</x:v>
      </x:c>
      <x:c r="G7" s="12" t="str">
        <x:v>Executive Director</x:v>
      </x:c>
      <x:c r="H7" s="12" t="str">
        <x:v>Not Started</x:v>
      </x:c>
      <x:c r="I7" s="12" t="str">
        <x:v>T-003</x:v>
      </x:c>
      <x:c r="J7" s="12" t="str">
        <x:f>IF(I7="","",IFERROR(INDEX($H$2:$H$500,MATCH(I7,$A$2:$A$500,0)),"MISSING"))</x:f>
        <x:v>Blocked</x:v>
      </x:c>
      <x:c r="K7" s="12" t="str">
        <x:v>Yes</x:v>
      </x:c>
      <x:c r="L7" s="12" t="str">
        <x:v>Missing</x:v>
      </x:c>
      <x:c r="M7" s="12" t="str">
        <x:v>Yes</x:v>
      </x:c>
      <x:c r="N7" s="12" t="str">
        <x:v>Critical</x:v>
      </x:c>
      <x:c r="O7" s="12" t="str">
        <x:v>Open</x:v>
      </x:c>
      <x:c r="P7" s="12" t="str">
        <x:v>External deadline</x:v>
      </x:c>
      <x:c r="Q7" s="12" t="n">
        <x:f>IF(H7="Complete",-999,IF(M7="Yes",70,0)+IF(F7&lt;Config!$B$2,70,IF(F7-Config!$B$2&lt;=3,50,IF(F7-Config!$B$2&lt;=7,35,IF(F7-Config!$B$2&lt;=14,20,5))))+IF(N7="Critical",60,IF(N7="High",40,IF(N7="Medium",20,5)))+IF(AND(I7&lt;&gt;"",J7&lt;&gt;"Complete"),35,0)+IF(AND(K7="Yes",L7&lt;&gt;"Complete"),20,0)+IF(O7="Escalated",25,0)+IF(H7="Decision Needed",25,0))</x:f>
        <x:v>220</x:v>
      </x:c>
      <x:c r="R7" s="12" t="n">
        <x:f>Q7+ROW()/100000</x:f>
        <x:v>220.00007</x:v>
      </x:c>
    </x:row>
    <x:row r="8">
      <x:c r="A8" s="12" t="str">
        <x:v>T-007</x:v>
      </x:c>
      <x:c r="B8" s="12" t="str">
        <x:v>G-002</x:v>
      </x:c>
      <x:c r="C8" s="12" t="str">
        <x:v>R-003</x:v>
      </x:c>
      <x:c r="D8" s="12" t="str">
        <x:v>Refresh participant outcome metric</x:v>
      </x:c>
      <x:c r="E8" s="12" t="str">
        <x:v>Program Director</x:v>
      </x:c>
      <x:c r="F8" s="12" t="n">
        <x:v>46303</x:v>
      </x:c>
      <x:c r="G8" s="12" t="str">
        <x:v>Associate Director</x:v>
      </x:c>
      <x:c r="H8" s="12" t="str">
        <x:v>Not Started</x:v>
      </x:c>
      <x:c r="I8" s="12" t="str"/>
      <x:c r="J8" s="12" t="str">
        <x:f>IF(I8="","",IFERROR(INDEX($H$2:$H$500,MATCH(I8,$A$2:$A$500,0)),"MISSING"))</x:f>
      </x:c>
      <x:c r="K8" s="12" t="str">
        <x:v>No</x:v>
      </x:c>
      <x:c r="L8" s="12" t="str">
        <x:v>N/A</x:v>
      </x:c>
      <x:c r="M8" s="12" t="str">
        <x:v>No</x:v>
      </x:c>
      <x:c r="N8" s="12" t="str">
        <x:v>Medium</x:v>
      </x:c>
      <x:c r="O8" s="12" t="str">
        <x:v>None</x:v>
      </x:c>
      <x:c r="P8" s="12" t="str"/>
      <x:c r="Q8" s="12" t="n">
        <x:f>IF(H8="Complete",-999,IF(M8="Yes",70,0)+IF(F8&lt;Config!$B$2,70,IF(F8-Config!$B$2&lt;=3,50,IF(F8-Config!$B$2&lt;=7,35,IF(F8-Config!$B$2&lt;=14,20,5))))+IF(N8="Critical",60,IF(N8="High",40,IF(N8="Medium",20,5)))+IF(AND(I8&lt;&gt;"",J8&lt;&gt;"Complete"),35,0)+IF(AND(K8="Yes",L8&lt;&gt;"Complete"),20,0)+IF(O8="Escalated",25,0)+IF(H8="Decision Needed",25,0))</x:f>
        <x:v>25</x:v>
      </x:c>
      <x:c r="R8" s="12" t="n">
        <x:f>Q8+ROW()/100000</x:f>
        <x:v>25.00008</x:v>
      </x:c>
    </x:row>
    <x:row r="9">
      <x:c r="A9" s="12" t="str">
        <x:v>T-008</x:v>
      </x:c>
      <x:c r="B9" s="12" t="str">
        <x:v>G-002</x:v>
      </x:c>
      <x:c r="C9" s="12" t="str">
        <x:v>R-003</x:v>
      </x:c>
      <x:c r="D9" s="12" t="str">
        <x:v>Review deliverable trajectory</x:v>
      </x:c>
      <x:c r="E9" s="12" t="str">
        <x:v>Associate Director</x:v>
      </x:c>
      <x:c r="F9" s="12" t="n">
        <x:v>46280</x:v>
      </x:c>
      <x:c r="G9" s="12" t="str">
        <x:v>Program Director</x:v>
      </x:c>
      <x:c r="H9" s="12" t="str">
        <x:v>Not Started</x:v>
      </x:c>
      <x:c r="I9" s="12" t="str">
        <x:v>T-007</x:v>
      </x:c>
      <x:c r="J9" s="12" t="str">
        <x:f>IF(I9="","",IFERROR(INDEX($H$2:$H$500,MATCH(I9,$A$2:$A$500,0)),"MISSING"))</x:f>
        <x:v>Not Started</x:v>
      </x:c>
      <x:c r="K9" s="12" t="str">
        <x:v>No</x:v>
      </x:c>
      <x:c r="L9" s="12" t="str">
        <x:v>N/A</x:v>
      </x:c>
      <x:c r="M9" s="12" t="str">
        <x:v>Yes</x:v>
      </x:c>
      <x:c r="N9" s="12" t="str">
        <x:v>High</x:v>
      </x:c>
      <x:c r="O9" s="12" t="str">
        <x:v>Open</x:v>
      </x:c>
      <x:c r="P9" s="12" t="str">
        <x:v>Current performance below plan</x:v>
      </x:c>
      <x:c r="Q9" s="12" t="n">
        <x:f>IF(H9="Complete",-999,IF(M9="Yes",70,0)+IF(F9&lt;Config!$B$2,70,IF(F9-Config!$B$2&lt;=3,50,IF(F9-Config!$B$2&lt;=7,35,IF(F9-Config!$B$2&lt;=14,20,5))))+IF(N9="Critical",60,IF(N9="High",40,IF(N9="Medium",20,5)))+IF(AND(I9&lt;&gt;"",J9&lt;&gt;"Complete"),35,0)+IF(AND(K9="Yes",L9&lt;&gt;"Complete"),20,0)+IF(O9="Escalated",25,0)+IF(H9="Decision Needed",25,0))</x:f>
        <x:v>180</x:v>
      </x:c>
      <x:c r="R9" s="12" t="n">
        <x:f>Q9+ROW()/100000</x:f>
        <x:v>180.00009</x:v>
      </x:c>
    </x:row>
  </x:sheetData>
  <x:dataValidations count="3">
    <x:dataValidation type="list" sqref="H2:H500">
      <x:formula1>"Not Started,In Progress,Blocked,Overdue,Decision Needed,Submitted,Complete"</x:formula1>
    </x:dataValidation>
    <x:dataValidation type="list" sqref="M2:M500">
      <x:formula1>"Yes,No"</x:formula1>
    </x:dataValidation>
    <x:dataValidation type="list" sqref="N2:N5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5bdb5f2ffe47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4" hidden="0" customWidth="1"/>
    <x:col min="4" max="4" width="12" hidden="0" customWidth="1"/>
    <x:col min="5" max="5" width="28" hidden="0" customWidth="1"/>
    <x:col min="6" max="6" width="36" hidden="0" customWidth="1"/>
    <x:col min="7" max="7" width="14" hidden="0" customWidth="1"/>
    <x:col min="8" max="8" width="20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  <x:col min="13" max="13" width="24" hidden="0" customWidth="1"/>
  </x:cols>
  <x:sheetData>
    <x:row r="1">
      <x:c r="A1" s="5" t="str">
        <x:v>Evidence ID</x:v>
      </x:c>
      <x:c r="B1" s="5" t="str">
        <x:v>Grant ID</x:v>
      </x:c>
      <x:c r="C1" s="5" t="str">
        <x:v>Requirement ID</x:v>
      </x:c>
      <x:c r="D1" s="5" t="str">
        <x:v>Task ID</x:v>
      </x:c>
      <x:c r="E1" s="5" t="str">
        <x:v>Evidence Type</x:v>
      </x:c>
      <x:c r="F1" s="5" t="str">
        <x:v>Document/Receipt URL</x:v>
      </x:c>
      <x:c r="G1" s="16" t="str">
        <x:v>Submission Date</x:v>
      </x:c>
      <x:c r="H1" s="5" t="str">
        <x:v>Submitted By</x:v>
      </x:c>
      <x:c r="I1" s="5" t="str">
        <x:v>Confirmation/Receipt</x:v>
      </x:c>
      <x:c r="J1" s="5" t="str">
        <x:v>Verified By</x:v>
      </x:c>
      <x:c r="K1" s="16" t="str">
        <x:v>Verification Date</x:v>
      </x:c>
      <x:c r="L1" s="5" t="str">
        <x:v>Status</x:v>
      </x:c>
      <x:c r="M1" s="5" t="str">
        <x:v>Notes</x:v>
      </x:c>
    </x:row>
    <x:row r="2">
      <x:c r="A2" s="12" t="str">
        <x:v>E-001</x:v>
      </x:c>
      <x:c r="B2" s="12" t="str">
        <x:v>G-001</x:v>
      </x:c>
      <x:c r="C2" s="12" t="str">
        <x:v>R-001</x:v>
      </x:c>
      <x:c r="D2" s="12" t="str">
        <x:v>T-006</x:v>
      </x:c>
      <x:c r="E2" s="12" t="str">
        <x:v>Funder submission receipt</x:v>
      </x:c>
      <x:c r="F2" s="12" t="str"/>
      <x:c r="G2" s="12"/>
      <x:c r="H2" s="12" t="str">
        <x:v>Associate Director</x:v>
      </x:c>
      <x:c r="I2" s="12" t="str"/>
      <x:c r="J2" s="12" t="str"/>
      <x:c r="K2" s="12"/>
      <x:c r="L2" s="12" t="str">
        <x:v>Missing</x:v>
      </x:c>
      <x:c r="M2" s="12" t="str">
        <x:v>Synthetic placeholder</x:v>
      </x:c>
    </x:row>
    <x:row r="3">
      <x:c r="A3" s="12" t="str">
        <x:v>E-002</x:v>
      </x:c>
      <x:c r="B3" s="12" t="str">
        <x:v>G-001</x:v>
      </x:c>
      <x:c r="C3" s="12" t="str">
        <x:v>R-002</x:v>
      </x:c>
      <x:c r="D3" s="12" t="str">
        <x:v>T-004</x:v>
      </x:c>
      <x:c r="E3" s="12" t="str">
        <x:v>Financial report source</x:v>
      </x:c>
      <x:c r="F3" s="12" t="str"/>
      <x:c r="G3" s="12"/>
      <x:c r="H3" s="12" t="str">
        <x:v>Finance Lead</x:v>
      </x:c>
      <x:c r="I3" s="12" t="str"/>
      <x:c r="J3" s="12" t="str"/>
      <x:c r="K3" s="12"/>
      <x:c r="L3" s="12" t="str">
        <x:v>Missing</x:v>
      </x:c>
      <x:c r="M3" s="12" t="str">
        <x:v>Synthetic placeholder</x:v>
      </x:c>
    </x:row>
  </x:sheetData>
  <x:dataValidations count="1">
    <x:dataValidation type="list" sqref="L2:L500">
      <x:formula1>"Missing,Received,Verified,Rejected"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89ca8e5317426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4" hidden="0" customWidth="1"/>
    <x:col min="4" max="4" width="36" hidden="0" customWidth="1"/>
    <x:col min="5" max="5" width="12" hidden="0" customWidth="1"/>
    <x:col min="6" max="6" width="20" hidden="0" customWidth="1"/>
    <x:col min="7" max="7" width="14" hidden="0" customWidth="1"/>
    <x:col min="8" max="8" width="32" hidden="0" customWidth="1"/>
    <x:col min="9" max="9" width="18" hidden="0" customWidth="1"/>
    <x:col min="10" max="10" width="14" hidden="0" customWidth="1"/>
    <x:col min="11" max="11" width="36" hidden="0" customWidth="1"/>
  </x:cols>
  <x:sheetData>
    <x:row r="1">
      <x:c r="A1" s="5" t="str">
        <x:v>Issue ID</x:v>
      </x:c>
      <x:c r="B1" s="5" t="str">
        <x:v>Grant ID</x:v>
      </x:c>
      <x:c r="C1" s="5" t="str">
        <x:v>Requirement ID</x:v>
      </x:c>
      <x:c r="D1" s="5" t="str">
        <x:v>Issue</x:v>
      </x:c>
      <x:c r="E1" s="5" t="str">
        <x:v>Severity</x:v>
      </x:c>
      <x:c r="F1" s="5" t="str">
        <x:v>Owner</x:v>
      </x:c>
      <x:c r="G1" s="16" t="str">
        <x:v>Date Identified</x:v>
      </x:c>
      <x:c r="H1" s="5" t="str">
        <x:v>Resolution</x:v>
      </x:c>
      <x:c r="I1" s="5" t="str">
        <x:v>Escalation Status</x:v>
      </x:c>
      <x:c r="J1" s="5" t="str">
        <x:v>Status</x:v>
      </x:c>
      <x:c r="K1" s="5" t="str">
        <x:v>Source/Notes</x:v>
      </x:c>
    </x:row>
    <x:row r="2">
      <x:c r="A2" s="12" t="str">
        <x:v>I-001</x:v>
      </x:c>
      <x:c r="B2" s="12" t="str">
        <x:v>G-001</x:v>
      </x:c>
      <x:c r="C2" s="12" t="str">
        <x:v>R-001</x:v>
      </x:c>
      <x:c r="D2" s="12" t="str">
        <x:v>Participant data overdue</x:v>
      </x:c>
      <x:c r="E2" s="12" t="str">
        <x:v>High</x:v>
      </x:c>
      <x:c r="F2" s="12" t="str">
        <x:v>Program Director</x:v>
      </x:c>
      <x:c r="G2" s="12" t="n">
        <x:v>46276</x:v>
      </x:c>
      <x:c r="H2" s="12" t="str"/>
      <x:c r="I2" s="12" t="str">
        <x:v>Escalated</x:v>
      </x:c>
      <x:c r="J2" s="12" t="str">
        <x:v>Open</x:v>
      </x:c>
      <x:c r="K2" s="12" t="str">
        <x:v>Dependency missed</x:v>
      </x:c>
    </x:row>
    <x:row r="3">
      <x:c r="A3" s="12" t="str">
        <x:v>I-002</x:v>
      </x:c>
      <x:c r="B3" s="12" t="str">
        <x:v>G-001</x:v>
      </x:c>
      <x:c r="C3" s="12" t="str">
        <x:v>R-002</x:v>
      </x:c>
      <x:c r="D3" s="12" t="str">
        <x:v>Financial data is stale</x:v>
      </x:c>
      <x:c r="E3" s="12" t="str">
        <x:v>Critical</x:v>
      </x:c>
      <x:c r="F3" s="12" t="str">
        <x:v>Finance Lead</x:v>
      </x:c>
      <x:c r="G3" s="12" t="n">
        <x:v>46276</x:v>
      </x:c>
      <x:c r="H3" s="12" t="str"/>
      <x:c r="I3" s="12" t="str">
        <x:v>Escalated</x:v>
      </x:c>
      <x:c r="J3" s="12" t="str">
        <x:v>Open</x:v>
      </x:c>
      <x:c r="K3" s="12" t="str">
        <x:v>Last authoritative update &gt;60 days</x:v>
      </x:c>
    </x:row>
    <x:row r="4">
      <x:c r="A4" s="12" t="str">
        <x:v>I-003</x:v>
      </x:c>
      <x:c r="B4" s="12" t="str">
        <x:v>G-002</x:v>
      </x:c>
      <x:c r="C4" s="12" t="str">
        <x:v>R-003</x:v>
      </x:c>
      <x:c r="D4" s="12" t="str">
        <x:v>Deliverable below expected trajectory</x:v>
      </x:c>
      <x:c r="E4" s="12" t="str">
        <x:v>Medium</x:v>
      </x:c>
      <x:c r="F4" s="12" t="str">
        <x:v>Program Director</x:v>
      </x:c>
      <x:c r="G4" s="12" t="n">
        <x:v>46276</x:v>
      </x:c>
      <x:c r="H4" s="12" t="str"/>
      <x:c r="I4" s="12" t="str">
        <x:v>Open</x:v>
      </x:c>
      <x:c r="J4" s="12" t="str">
        <x:v>Open</x:v>
      </x:c>
      <x:c r="K4" s="12" t="str">
        <x:v>Management warning; not funder conclusion</x:v>
      </x:c>
    </x:row>
    <x:row r="5">
      <x:c r="A5" s="12" t="str">
        <x:v>I-004</x:v>
      </x:c>
      <x:c r="B5" s="12" t="str">
        <x:v>G-003</x:v>
      </x:c>
      <x:c r="C5" s="12" t="str">
        <x:v>R-004</x:v>
      </x:c>
      <x:c r="D5" s="12" t="str">
        <x:v>Renewal decision pending</x:v>
      </x:c>
      <x:c r="E5" s="12" t="str">
        <x:v>Medium</x:v>
      </x:c>
      <x:c r="F5" s="12" t="str">
        <x:v>Executive Director</x:v>
      </x:c>
      <x:c r="G5" s="12" t="n">
        <x:v>46276</x:v>
      </x:c>
      <x:c r="H5" s="12" t="str"/>
      <x:c r="I5" s="12" t="str">
        <x:v>Open</x:v>
      </x:c>
      <x:c r="J5" s="12" t="str">
        <x:v>Open</x:v>
      </x:c>
      <x:c r="K5" s="12" t="str">
        <x:v>Decision needed this week</x:v>
      </x:c>
    </x:row>
  </x:sheetData>
  <x:dataValidations count="2">
    <x:dataValidation type="list" sqref="E2:E500">
      <x:formula1>"Low,Medium,High,Critical"</x:formula1>
    </x:dataValidation>
    <x:dataValidation type="list" sqref="J2:J500">
      <x:formula1>"Open,Monitoring,Resolved,Closed"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1485b00c4a40d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16" hidden="0" customWidth="1"/>
    <x:col min="5" max="5" width="16" hidden="0" customWidth="1"/>
    <x:col min="6" max="6" width="14" hidden="0" customWidth="1"/>
    <x:col min="7" max="7" width="12" hidden="0" customWidth="1"/>
    <x:col min="8" max="8" width="20" hidden="0" customWidth="1"/>
    <x:col min="9" max="9" width="12" hidden="0" customWidth="1"/>
    <x:col min="10" max="10" width="18" hidden="0" customWidth="1"/>
    <x:col min="11" max="11" width="34" hidden="0" customWidth="1"/>
    <x:col min="12" max="12" width="34" hidden="0" customWidth="1"/>
  </x:cols>
  <x:sheetData>
    <x:row r="1">
      <x:c r="A1" s="5" t="str">
        <x:v>Grant ID</x:v>
      </x:c>
      <x:c r="B1" s="18" t="str">
        <x:v>Award Amount</x:v>
      </x:c>
      <x:c r="C1" s="18" t="str">
        <x:v>Amount Spent</x:v>
      </x:c>
      <x:c r="D1" s="18" t="str">
        <x:v>Committed Funds</x:v>
      </x:c>
      <x:c r="E1" s="18" t="str">
        <x:v>Remaining Funds</x:v>
      </x:c>
      <x:c r="F1" s="5" t="str">
        <x:v>Grant % Elapsed</x:v>
      </x:c>
      <x:c r="G1" s="5" t="str">
        <x:v>Spend %</x:v>
      </x:c>
      <x:c r="H1" s="16" t="str">
        <x:v>Last Authoritative Update</x:v>
      </x:c>
      <x:c r="I1" s="5" t="str">
        <x:v>Days Stale</x:v>
      </x:c>
      <x:c r="J1" s="5" t="str">
        <x:v>Financial Health</x:v>
      </x:c>
      <x:c r="K1" s="5" t="str">
        <x:v>Management Warning</x:v>
      </x:c>
      <x:c r="L1" s="5" t="str">
        <x:v>Authoritative Source URL</x:v>
      </x:c>
    </x:row>
    <x:row r="2">
      <x:c r="A2" s="12" t="str">
        <x:v>G-001</x:v>
      </x:c>
      <x:c r="B2" s="12" t="n">
        <x:v>250000</x:v>
      </x:c>
      <x:c r="C2" s="12" t="n">
        <x:v>112500</x:v>
      </x:c>
      <x:c r="D2" s="12" t="n">
        <x:v>15000</x:v>
      </x:c>
      <x:c r="E2" s="12" t="n">
        <x:f>B2-C2-D2</x:f>
        <x:v>122500</x:v>
      </x:c>
      <x:c r="F2" s="20" t="n">
        <x:f>IFERROR((Config!$B$2-INDEX(Grants!$G$2:$G$500,MATCH(A2,Grants!$A$2:$A$500,0)))/(INDEX(Grants!$H$2:$H$500,MATCH(A2,Grants!$A$2:$A$500,0))-INDEX(Grants!$G$2:$G$500,MATCH(A2,Grants!$A$2:$A$500,0))),0)</x:f>
        <x:v>0.695054945054945</x:v>
      </x:c>
      <x:c r="G2" s="20" t="n">
        <x:f>IFERROR(C2/B2,0)</x:f>
        <x:v>0.45</x:v>
      </x:c>
      <x:c r="H2" s="12" t="n">
        <x:v>46223</x:v>
      </x:c>
      <x:c r="I2" s="12" t="n">
        <x:f>IF(H2="","",Config!$B$2-H2)</x:f>
        <x:v>53</x:v>
      </x:c>
      <x:c r="J2" s="12" t="str">
        <x:f>IF(H2="","UNKNOWN",IF(I2&gt;Config!$B$7,"UNKNOWN",IF(G2&gt;F2+0.20,"AT RISK",IF(G2&lt;F2-0.20,"AT RISK","HEALTHY"))))</x:f>
        <x:v>AT RISK</x:v>
      </x:c>
      <x:c r="K2" s="12" t="str">
        <x:f>IF(J2="UNKNOWN","Financial data missing or stale",IF(G2&gt;F2+0.20,"Potential overspending — review",IF(G2&lt;F2-0.20,"Potential underspending — review","")))</x:f>
        <x:v>Potential underspending — review</x:v>
      </x:c>
      <x:c r="L2" s="12" t="str"/>
    </x:row>
    <x:row r="3">
      <x:c r="A3" s="12" t="str">
        <x:v>G-002</x:v>
      </x:c>
      <x:c r="B3" s="12" t="n">
        <x:v>125000</x:v>
      </x:c>
      <x:c r="C3" s="12" t="n">
        <x:v>43000</x:v>
      </x:c>
      <x:c r="D3" s="12" t="n">
        <x:v>9000</x:v>
      </x:c>
      <x:c r="E3" s="12" t="n">
        <x:f>B3-C3-D3</x:f>
        <x:v>73000</x:v>
      </x:c>
      <x:c r="F3" s="20" t="n">
        <x:f>IFERROR((Config!$B$2-INDEX(Grants!$G$2:$G$500,MATCH(A3,Grants!$A$2:$A$500,0)))/(INDEX(Grants!$H$2:$H$500,MATCH(A3,Grants!$A$2:$A$500,0))-INDEX(Grants!$G$2:$G$500,MATCH(A3,Grants!$A$2:$A$500,0))),0)</x:f>
        <x:v>0.4478021978021978</x:v>
      </x:c>
      <x:c r="G3" s="20" t="n">
        <x:f>IFERROR(C3/B3,0)</x:f>
        <x:v>0.344</x:v>
      </x:c>
      <x:c r="H3" s="12" t="n">
        <x:v>46270</x:v>
      </x:c>
      <x:c r="I3" s="12" t="n">
        <x:f>IF(H3="","",Config!$B$2-H3)</x:f>
        <x:v>6</x:v>
      </x:c>
      <x:c r="J3" s="12" t="str">
        <x:f>IF(H3="","UNKNOWN",IF(I3&gt;Config!$B$7,"UNKNOWN",IF(G3&gt;F3+0.20,"AT RISK",IF(G3&lt;F3-0.20,"AT RISK","HEALTHY"))))</x:f>
        <x:v>HEALTHY</x:v>
      </x:c>
      <x:c r="K3" s="12" t="str">
        <x:f>IF(J3="UNKNOWN","Financial data missing or stale",IF(G3&gt;F3+0.20,"Potential overspending — review",IF(G3&lt;F3-0.20,"Potential underspending — review","")))</x:f>
      </x:c>
      <x:c r="L3" s="12" t="str"/>
    </x:row>
    <x:row r="4">
      <x:c r="A4" s="12" t="str">
        <x:v>G-003</x:v>
      </x:c>
      <x:c r="B4" s="12" t="n">
        <x:v>60000</x:v>
      </x:c>
      <x:c r="C4" s="12" t="n">
        <x:v>8000</x:v>
      </x:c>
      <x:c r="D4" s="12" t="n">
        <x:v>2500</x:v>
      </x:c>
      <x:c r="E4" s="12" t="n">
        <x:f>B4-C4-D4</x:f>
        <x:v>49500</x:v>
      </x:c>
      <x:c r="F4" s="20" t="n">
        <x:f>IFERROR((Config!$B$2-INDEX(Grants!$G$2:$G$500,MATCH(A4,Grants!$A$2:$A$500,0)))/(INDEX(Grants!$H$2:$H$500,MATCH(A4,Grants!$A$2:$A$500,0))-INDEX(Grants!$G$2:$G$500,MATCH(A4,Grants!$A$2:$A$500,0))),0)</x:f>
        <x:v>0.1978021978021978</x:v>
      </x:c>
      <x:c r="G4" s="20" t="n">
        <x:f>IFERROR(C4/B4,0)</x:f>
        <x:v>0.13333333333333333</x:v>
      </x:c>
      <x:c r="H4" s="12"/>
      <x:c r="I4" s="12" t="str">
        <x:f>IF(H4="","",Config!$B$2-H4)</x:f>
      </x:c>
      <x:c r="J4" s="12" t="str">
        <x:f>IF(H4="","UNKNOWN",IF(I4&gt;Config!$B$7,"UNKNOWN",IF(G4&gt;F4+0.20,"AT RISK",IF(G4&lt;F4-0.20,"AT RISK","HEALTHY"))))</x:f>
        <x:v>UNKNOWN</x:v>
      </x:c>
      <x:c r="K4" s="12" t="str">
        <x:f>IF(J4="UNKNOWN","Financial data missing or stale",IF(G4&gt;F4+0.20,"Potential overspending — review",IF(G4&lt;F4-0.20,"Potential underspending — review","")))</x:f>
        <x:v>Financial data missing or stale</x:v>
      </x:c>
      <x:c r="L4" s="12" t="str"/>
    </x:row>
    <x:row r="5">
      <x:c r="F5" s="21"/>
      <x:c r="G5" s="21"/>
    </x:row>
    <x:row r="6">
      <x:c r="F6" s="21"/>
      <x:c r="G6" s="21"/>
    </x:row>
    <x:row r="7">
      <x:c r="F7" s="21"/>
      <x:c r="G7" s="21"/>
    </x:row>
    <x:row r="8">
      <x:c r="F8" s="21"/>
      <x:c r="G8" s="21"/>
    </x:row>
    <x:row r="9">
      <x:c r="F9" s="21"/>
      <x:c r="G9" s="21"/>
    </x:row>
    <x:row r="10">
      <x:c r="F10" s="21"/>
      <x:c r="G10" s="21"/>
    </x:row>
    <x:row r="11">
      <x:c r="F11" s="21"/>
      <x:c r="G11" s="21"/>
    </x:row>
    <x:row r="12">
      <x:c r="F12" s="21"/>
      <x:c r="G12" s="21"/>
    </x:row>
    <x:row r="13">
      <x:c r="F13" s="21"/>
      <x:c r="G13" s="21"/>
    </x:row>
    <x:row r="14">
      <x:c r="F14" s="21"/>
      <x:c r="G14" s="21"/>
    </x:row>
    <x:row r="15">
      <x:c r="F15" s="21"/>
      <x:c r="G15" s="21"/>
    </x:row>
    <x:row r="16">
      <x:c r="F16" s="21"/>
      <x:c r="G16" s="21"/>
    </x:row>
    <x:row r="17">
      <x:c r="F17" s="21"/>
      <x:c r="G17" s="21"/>
    </x:row>
    <x:row r="18">
      <x:c r="F18" s="21"/>
      <x:c r="G18" s="21"/>
    </x:row>
    <x:row r="19">
      <x:c r="F19" s="21"/>
      <x:c r="G19" s="21"/>
    </x:row>
    <x:row r="20">
      <x:c r="F20" s="21"/>
      <x:c r="G20" s="21"/>
    </x:row>
    <x:row r="21">
      <x:c r="F21" s="21"/>
      <x:c r="G21" s="21"/>
    </x:row>
    <x:row r="22">
      <x:c r="F22" s="21"/>
      <x:c r="G22" s="21"/>
    </x:row>
    <x:row r="23">
      <x:c r="F23" s="21"/>
      <x:c r="G23" s="21"/>
    </x:row>
    <x:row r="24">
      <x:c r="F24" s="21"/>
      <x:c r="G24" s="21"/>
    </x:row>
    <x:row r="25">
      <x:c r="F25" s="21"/>
      <x:c r="G25" s="21"/>
    </x:row>
    <x:row r="26">
      <x:c r="F26" s="21"/>
      <x:c r="G26" s="21"/>
    </x:row>
    <x:row r="27">
      <x:c r="F27" s="21"/>
      <x:c r="G27" s="21"/>
    </x:row>
    <x:row r="28">
      <x:c r="F28" s="21"/>
      <x:c r="G28" s="21"/>
    </x:row>
    <x:row r="29">
      <x:c r="F29" s="21"/>
      <x:c r="G29" s="21"/>
    </x:row>
    <x:row r="30">
      <x:c r="F30" s="21"/>
      <x:c r="G30" s="21"/>
    </x:row>
    <x:row r="31">
      <x:c r="F31" s="21"/>
      <x:c r="G31" s="21"/>
    </x:row>
    <x:row r="32">
      <x:c r="F32" s="21"/>
      <x:c r="G32" s="21"/>
    </x:row>
    <x:row r="33">
      <x:c r="F33" s="21"/>
      <x:c r="G33" s="21"/>
    </x:row>
    <x:row r="34">
      <x:c r="F34" s="21"/>
      <x:c r="G34" s="21"/>
    </x:row>
    <x:row r="35">
      <x:c r="F35" s="21"/>
      <x:c r="G35" s="21"/>
    </x:row>
    <x:row r="36">
      <x:c r="F36" s="21"/>
      <x:c r="G36" s="21"/>
    </x:row>
    <x:row r="37">
      <x:c r="F37" s="21"/>
      <x:c r="G37" s="21"/>
    </x:row>
    <x:row r="38">
      <x:c r="F38" s="21"/>
      <x:c r="G38" s="21"/>
    </x:row>
    <x:row r="39">
      <x:c r="F39" s="21"/>
      <x:c r="G39" s="21"/>
    </x:row>
    <x:row r="40">
      <x:c r="F40" s="21"/>
      <x:c r="G40" s="21"/>
    </x:row>
    <x:row r="41">
      <x:c r="F41" s="21"/>
      <x:c r="G41" s="21"/>
    </x:row>
    <x:row r="42">
      <x:c r="F42" s="21"/>
      <x:c r="G42" s="21"/>
    </x:row>
    <x:row r="43">
      <x:c r="F43" s="21"/>
      <x:c r="G43" s="21"/>
    </x:row>
    <x:row r="44">
      <x:c r="F44" s="21"/>
      <x:c r="G44" s="21"/>
    </x:row>
    <x:row r="45">
      <x:c r="F45" s="21"/>
      <x:c r="G45" s="21"/>
    </x:row>
    <x:row r="46">
      <x:c r="F46" s="21"/>
      <x:c r="G46" s="21"/>
    </x:row>
    <x:row r="47">
      <x:c r="F47" s="21"/>
      <x:c r="G47" s="21"/>
    </x:row>
    <x:row r="48">
      <x:c r="F48" s="21"/>
      <x:c r="G48" s="21"/>
    </x:row>
    <x:row r="49">
      <x:c r="F49" s="21"/>
      <x:c r="G49" s="21"/>
    </x:row>
    <x:row r="50">
      <x:c r="F50" s="21"/>
      <x:c r="G50" s="21"/>
    </x:row>
    <x:row r="51">
      <x:c r="F51" s="21"/>
      <x:c r="G51" s="21"/>
    </x:row>
    <x:row r="52">
      <x:c r="F52" s="21"/>
      <x:c r="G52" s="21"/>
    </x:row>
    <x:row r="53">
      <x:c r="F53" s="21"/>
      <x:c r="G53" s="21"/>
    </x:row>
    <x:row r="54">
      <x:c r="F54" s="21"/>
      <x:c r="G54" s="21"/>
    </x:row>
    <x:row r="55">
      <x:c r="F55" s="21"/>
      <x:c r="G55" s="21"/>
    </x:row>
    <x:row r="56">
      <x:c r="F56" s="21"/>
      <x:c r="G56" s="21"/>
    </x:row>
    <x:row r="57">
      <x:c r="F57" s="21"/>
      <x:c r="G57" s="21"/>
    </x:row>
    <x:row r="58">
      <x:c r="F58" s="21"/>
      <x:c r="G58" s="21"/>
    </x:row>
    <x:row r="59">
      <x:c r="F59" s="21"/>
      <x:c r="G59" s="21"/>
    </x:row>
    <x:row r="60">
      <x:c r="F60" s="21"/>
      <x:c r="G60" s="21"/>
    </x:row>
    <x:row r="61">
      <x:c r="F61" s="21"/>
      <x:c r="G61" s="21"/>
    </x:row>
    <x:row r="62">
      <x:c r="F62" s="21"/>
      <x:c r="G62" s="21"/>
    </x:row>
    <x:row r="63">
      <x:c r="F63" s="21"/>
      <x:c r="G63" s="21"/>
    </x:row>
    <x:row r="64">
      <x:c r="F64" s="21"/>
      <x:c r="G64" s="21"/>
    </x:row>
    <x:row r="65">
      <x:c r="F65" s="21"/>
      <x:c r="G65" s="21"/>
    </x:row>
    <x:row r="66">
      <x:c r="F66" s="21"/>
      <x:c r="G66" s="21"/>
    </x:row>
    <x:row r="67">
      <x:c r="F67" s="21"/>
      <x:c r="G67" s="21"/>
    </x:row>
    <x:row r="68">
      <x:c r="F68" s="21"/>
      <x:c r="G68" s="21"/>
    </x:row>
    <x:row r="69">
      <x:c r="F69" s="21"/>
      <x:c r="G69" s="21"/>
    </x:row>
    <x:row r="70">
      <x:c r="F70" s="21"/>
      <x:c r="G70" s="21"/>
    </x:row>
    <x:row r="71">
      <x:c r="F71" s="21"/>
      <x:c r="G71" s="21"/>
    </x:row>
    <x:row r="72">
      <x:c r="F72" s="21"/>
      <x:c r="G72" s="21"/>
    </x:row>
    <x:row r="73">
      <x:c r="F73" s="21"/>
      <x:c r="G73" s="21"/>
    </x:row>
    <x:row r="74">
      <x:c r="F74" s="21"/>
      <x:c r="G74" s="21"/>
    </x:row>
    <x:row r="75">
      <x:c r="F75" s="21"/>
      <x:c r="G75" s="21"/>
    </x:row>
    <x:row r="76">
      <x:c r="F76" s="21"/>
      <x:c r="G76" s="21"/>
    </x:row>
    <x:row r="77">
      <x:c r="F77" s="21"/>
      <x:c r="G77" s="21"/>
    </x:row>
    <x:row r="78">
      <x:c r="F78" s="21"/>
      <x:c r="G78" s="21"/>
    </x:row>
    <x:row r="79">
      <x:c r="F79" s="21"/>
      <x:c r="G79" s="21"/>
    </x:row>
    <x:row r="80">
      <x:c r="F80" s="21"/>
      <x:c r="G80" s="21"/>
    </x:row>
    <x:row r="81">
      <x:c r="F81" s="21"/>
      <x:c r="G81" s="21"/>
    </x:row>
    <x:row r="82">
      <x:c r="F82" s="21"/>
      <x:c r="G82" s="21"/>
    </x:row>
    <x:row r="83">
      <x:c r="F83" s="21"/>
      <x:c r="G83" s="21"/>
    </x:row>
    <x:row r="84">
      <x:c r="F84" s="21"/>
      <x:c r="G84" s="21"/>
    </x:row>
    <x:row r="85">
      <x:c r="F85" s="21"/>
      <x:c r="G85" s="21"/>
    </x:row>
    <x:row r="86">
      <x:c r="F86" s="21"/>
      <x:c r="G86" s="21"/>
    </x:row>
    <x:row r="87">
      <x:c r="F87" s="21"/>
      <x:c r="G87" s="21"/>
    </x:row>
    <x:row r="88">
      <x:c r="F88" s="21"/>
      <x:c r="G88" s="21"/>
    </x:row>
    <x:row r="89">
      <x:c r="F89" s="21"/>
      <x:c r="G89" s="21"/>
    </x:row>
    <x:row r="90">
      <x:c r="F90" s="21"/>
      <x:c r="G90" s="21"/>
    </x:row>
    <x:row r="91">
      <x:c r="F91" s="21"/>
      <x:c r="G91" s="21"/>
    </x:row>
    <x:row r="92">
      <x:c r="F92" s="21"/>
      <x:c r="G92" s="21"/>
    </x:row>
    <x:row r="93">
      <x:c r="F93" s="21"/>
      <x:c r="G93" s="21"/>
    </x:row>
    <x:row r="94">
      <x:c r="F94" s="21"/>
      <x:c r="G94" s="21"/>
    </x:row>
    <x:row r="95">
      <x:c r="F95" s="21"/>
      <x:c r="G95" s="21"/>
    </x:row>
    <x:row r="96">
      <x:c r="F96" s="21"/>
      <x:c r="G96" s="21"/>
    </x:row>
    <x:row r="97">
      <x:c r="F97" s="21"/>
      <x:c r="G97" s="21"/>
    </x:row>
    <x:row r="98">
      <x:c r="F98" s="21"/>
      <x:c r="G98" s="21"/>
    </x:row>
    <x:row r="99">
      <x:c r="F99" s="21"/>
      <x:c r="G99" s="21"/>
    </x:row>
    <x:row r="100">
      <x:c r="F100" s="21"/>
      <x:c r="G100" s="21"/>
    </x:row>
    <x:row r="101">
      <x:c r="F101" s="21"/>
      <x:c r="G101" s="21"/>
    </x:row>
    <x:row r="102">
      <x:c r="F102" s="21"/>
      <x:c r="G102" s="21"/>
    </x:row>
    <x:row r="103">
      <x:c r="F103" s="21"/>
      <x:c r="G103" s="21"/>
    </x:row>
    <x:row r="104">
      <x:c r="F104" s="21"/>
      <x:c r="G104" s="21"/>
    </x:row>
    <x:row r="105">
      <x:c r="F105" s="21"/>
      <x:c r="G105" s="21"/>
    </x:row>
    <x:row r="106">
      <x:c r="F106" s="21"/>
      <x:c r="G106" s="21"/>
    </x:row>
    <x:row r="107">
      <x:c r="F107" s="21"/>
      <x:c r="G107" s="21"/>
    </x:row>
    <x:row r="108">
      <x:c r="F108" s="21"/>
      <x:c r="G108" s="21"/>
    </x:row>
    <x:row r="109">
      <x:c r="F109" s="21"/>
      <x:c r="G109" s="21"/>
    </x:row>
    <x:row r="110">
      <x:c r="F110" s="21"/>
      <x:c r="G110" s="21"/>
    </x:row>
    <x:row r="111">
      <x:c r="F111" s="21"/>
      <x:c r="G111" s="21"/>
    </x:row>
    <x:row r="112">
      <x:c r="F112" s="21"/>
      <x:c r="G112" s="21"/>
    </x:row>
    <x:row r="113">
      <x:c r="F113" s="21"/>
      <x:c r="G113" s="21"/>
    </x:row>
    <x:row r="114">
      <x:c r="F114" s="21"/>
      <x:c r="G114" s="21"/>
    </x:row>
    <x:row r="115">
      <x:c r="F115" s="21"/>
      <x:c r="G115" s="21"/>
    </x:row>
    <x:row r="116">
      <x:c r="F116" s="21"/>
      <x:c r="G116" s="21"/>
    </x:row>
    <x:row r="117">
      <x:c r="F117" s="21"/>
      <x:c r="G117" s="21"/>
    </x:row>
    <x:row r="118">
      <x:c r="F118" s="21"/>
      <x:c r="G118" s="21"/>
    </x:row>
    <x:row r="119">
      <x:c r="F119" s="21"/>
      <x:c r="G119" s="21"/>
    </x:row>
    <x:row r="120">
      <x:c r="F120" s="21"/>
      <x:c r="G120" s="21"/>
    </x:row>
    <x:row r="121">
      <x:c r="F121" s="21"/>
      <x:c r="G121" s="21"/>
    </x:row>
    <x:row r="122">
      <x:c r="F122" s="21"/>
      <x:c r="G122" s="21"/>
    </x:row>
    <x:row r="123">
      <x:c r="F123" s="21"/>
      <x:c r="G123" s="21"/>
    </x:row>
    <x:row r="124">
      <x:c r="F124" s="21"/>
      <x:c r="G124" s="21"/>
    </x:row>
    <x:row r="125">
      <x:c r="F125" s="21"/>
      <x:c r="G125" s="21"/>
    </x:row>
    <x:row r="126">
      <x:c r="F126" s="21"/>
      <x:c r="G126" s="21"/>
    </x:row>
    <x:row r="127">
      <x:c r="F127" s="21"/>
      <x:c r="G127" s="21"/>
    </x:row>
    <x:row r="128">
      <x:c r="F128" s="21"/>
      <x:c r="G128" s="21"/>
    </x:row>
    <x:row r="129">
      <x:c r="F129" s="21"/>
      <x:c r="G129" s="21"/>
    </x:row>
    <x:row r="130">
      <x:c r="F130" s="21"/>
      <x:c r="G130" s="21"/>
    </x:row>
    <x:row r="131">
      <x:c r="F131" s="21"/>
      <x:c r="G131" s="21"/>
    </x:row>
    <x:row r="132">
      <x:c r="F132" s="21"/>
      <x:c r="G132" s="21"/>
    </x:row>
    <x:row r="133">
      <x:c r="F133" s="21"/>
      <x:c r="G133" s="21"/>
    </x:row>
    <x:row r="134">
      <x:c r="F134" s="21"/>
      <x:c r="G134" s="21"/>
    </x:row>
    <x:row r="135">
      <x:c r="F135" s="21"/>
      <x:c r="G135" s="21"/>
    </x:row>
    <x:row r="136">
      <x:c r="F136" s="21"/>
      <x:c r="G136" s="21"/>
    </x:row>
    <x:row r="137">
      <x:c r="F137" s="21"/>
      <x:c r="G137" s="21"/>
    </x:row>
    <x:row r="138">
      <x:c r="F138" s="21"/>
      <x:c r="G138" s="21"/>
    </x:row>
    <x:row r="139">
      <x:c r="F139" s="21"/>
      <x:c r="G139" s="21"/>
    </x:row>
    <x:row r="140">
      <x:c r="F140" s="21"/>
      <x:c r="G140" s="21"/>
    </x:row>
    <x:row r="141">
      <x:c r="F141" s="21"/>
      <x:c r="G141" s="21"/>
    </x:row>
    <x:row r="142">
      <x:c r="F142" s="21"/>
      <x:c r="G142" s="21"/>
    </x:row>
    <x:row r="143">
      <x:c r="F143" s="21"/>
      <x:c r="G143" s="21"/>
    </x:row>
    <x:row r="144">
      <x:c r="F144" s="21"/>
      <x:c r="G144" s="21"/>
    </x:row>
    <x:row r="145">
      <x:c r="F145" s="21"/>
      <x:c r="G145" s="21"/>
    </x:row>
    <x:row r="146">
      <x:c r="F146" s="21"/>
      <x:c r="G146" s="21"/>
    </x:row>
    <x:row r="147">
      <x:c r="F147" s="21"/>
      <x:c r="G147" s="21"/>
    </x:row>
    <x:row r="148">
      <x:c r="F148" s="21"/>
      <x:c r="G148" s="21"/>
    </x:row>
    <x:row r="149">
      <x:c r="F149" s="21"/>
      <x:c r="G149" s="21"/>
    </x:row>
    <x:row r="150">
      <x:c r="F150" s="21"/>
      <x:c r="G150" s="21"/>
    </x:row>
    <x:row r="151">
      <x:c r="F151" s="21"/>
      <x:c r="G151" s="21"/>
    </x:row>
    <x:row r="152">
      <x:c r="F152" s="21"/>
      <x:c r="G152" s="21"/>
    </x:row>
    <x:row r="153">
      <x:c r="F153" s="21"/>
      <x:c r="G153" s="21"/>
    </x:row>
    <x:row r="154">
      <x:c r="F154" s="21"/>
      <x:c r="G154" s="21"/>
    </x:row>
    <x:row r="155">
      <x:c r="F155" s="21"/>
      <x:c r="G155" s="21"/>
    </x:row>
    <x:row r="156">
      <x:c r="F156" s="21"/>
      <x:c r="G156" s="21"/>
    </x:row>
    <x:row r="157">
      <x:c r="F157" s="21"/>
      <x:c r="G157" s="21"/>
    </x:row>
    <x:row r="158">
      <x:c r="F158" s="21"/>
      <x:c r="G158" s="21"/>
    </x:row>
    <x:row r="159">
      <x:c r="F159" s="21"/>
      <x:c r="G159" s="21"/>
    </x:row>
    <x:row r="160">
      <x:c r="F160" s="21"/>
      <x:c r="G160" s="21"/>
    </x:row>
    <x:row r="161">
      <x:c r="F161" s="21"/>
      <x:c r="G161" s="21"/>
    </x:row>
    <x:row r="162">
      <x:c r="F162" s="21"/>
      <x:c r="G162" s="21"/>
    </x:row>
    <x:row r="163">
      <x:c r="F163" s="21"/>
      <x:c r="G163" s="21"/>
    </x:row>
    <x:row r="164">
      <x:c r="F164" s="21"/>
      <x:c r="G164" s="21"/>
    </x:row>
    <x:row r="165">
      <x:c r="F165" s="21"/>
      <x:c r="G165" s="21"/>
    </x:row>
    <x:row r="166">
      <x:c r="F166" s="21"/>
      <x:c r="G166" s="21"/>
    </x:row>
    <x:row r="167">
      <x:c r="F167" s="21"/>
      <x:c r="G167" s="21"/>
    </x:row>
    <x:row r="168">
      <x:c r="F168" s="21"/>
      <x:c r="G168" s="21"/>
    </x:row>
    <x:row r="169">
      <x:c r="F169" s="21"/>
      <x:c r="G169" s="21"/>
    </x:row>
    <x:row r="170">
      <x:c r="F170" s="21"/>
      <x:c r="G170" s="21"/>
    </x:row>
    <x:row r="171">
      <x:c r="F171" s="21"/>
      <x:c r="G171" s="21"/>
    </x:row>
    <x:row r="172">
      <x:c r="F172" s="21"/>
      <x:c r="G172" s="21"/>
    </x:row>
    <x:row r="173">
      <x:c r="F173" s="21"/>
      <x:c r="G173" s="21"/>
    </x:row>
    <x:row r="174">
      <x:c r="F174" s="21"/>
      <x:c r="G174" s="21"/>
    </x:row>
    <x:row r="175">
      <x:c r="F175" s="21"/>
      <x:c r="G175" s="21"/>
    </x:row>
    <x:row r="176">
      <x:c r="F176" s="21"/>
      <x:c r="G176" s="21"/>
    </x:row>
    <x:row r="177">
      <x:c r="F177" s="21"/>
      <x:c r="G177" s="21"/>
    </x:row>
    <x:row r="178">
      <x:c r="F178" s="21"/>
      <x:c r="G178" s="21"/>
    </x:row>
    <x:row r="179">
      <x:c r="F179" s="21"/>
      <x:c r="G179" s="21"/>
    </x:row>
    <x:row r="180">
      <x:c r="F180" s="21"/>
      <x:c r="G180" s="21"/>
    </x:row>
    <x:row r="181">
      <x:c r="F181" s="21"/>
      <x:c r="G181" s="21"/>
    </x:row>
    <x:row r="182">
      <x:c r="F182" s="21"/>
      <x:c r="G182" s="21"/>
    </x:row>
    <x:row r="183">
      <x:c r="F183" s="21"/>
      <x:c r="G183" s="21"/>
    </x:row>
    <x:row r="184">
      <x:c r="F184" s="21"/>
      <x:c r="G184" s="21"/>
    </x:row>
    <x:row r="185">
      <x:c r="F185" s="21"/>
      <x:c r="G185" s="21"/>
    </x:row>
    <x:row r="186">
      <x:c r="F186" s="21"/>
      <x:c r="G186" s="21"/>
    </x:row>
    <x:row r="187">
      <x:c r="F187" s="21"/>
      <x:c r="G187" s="21"/>
    </x:row>
    <x:row r="188">
      <x:c r="F188" s="21"/>
      <x:c r="G188" s="21"/>
    </x:row>
    <x:row r="189">
      <x:c r="F189" s="21"/>
      <x:c r="G189" s="21"/>
    </x:row>
    <x:row r="190">
      <x:c r="F190" s="21"/>
      <x:c r="G190" s="21"/>
    </x:row>
    <x:row r="191">
      <x:c r="F191" s="21"/>
      <x:c r="G191" s="21"/>
    </x:row>
    <x:row r="192">
      <x:c r="F192" s="21"/>
      <x:c r="G192" s="21"/>
    </x:row>
    <x:row r="193">
      <x:c r="F193" s="21"/>
      <x:c r="G193" s="21"/>
    </x:row>
    <x:row r="194">
      <x:c r="F194" s="21"/>
      <x:c r="G194" s="21"/>
    </x:row>
    <x:row r="195">
      <x:c r="F195" s="21"/>
      <x:c r="G195" s="21"/>
    </x:row>
    <x:row r="196">
      <x:c r="F196" s="21"/>
      <x:c r="G196" s="21"/>
    </x:row>
    <x:row r="197">
      <x:c r="F197" s="21"/>
      <x:c r="G197" s="21"/>
    </x:row>
    <x:row r="198">
      <x:c r="F198" s="21"/>
      <x:c r="G198" s="21"/>
    </x:row>
    <x:row r="199">
      <x:c r="F199" s="21"/>
      <x:c r="G199" s="21"/>
    </x:row>
    <x:row r="200">
      <x:c r="F200" s="21"/>
      <x:c r="G200" s="21"/>
    </x:row>
    <x:row r="201">
      <x:c r="F201" s="21"/>
      <x:c r="G201" s="21"/>
    </x:row>
    <x:row r="202">
      <x:c r="F202" s="21"/>
      <x:c r="G202" s="21"/>
    </x:row>
    <x:row r="203">
      <x:c r="F203" s="21"/>
      <x:c r="G203" s="21"/>
    </x:row>
    <x:row r="204">
      <x:c r="F204" s="21"/>
      <x:c r="G204" s="21"/>
    </x:row>
    <x:row r="205">
      <x:c r="F205" s="21"/>
      <x:c r="G205" s="21"/>
    </x:row>
    <x:row r="206">
      <x:c r="F206" s="21"/>
      <x:c r="G206" s="21"/>
    </x:row>
    <x:row r="207">
      <x:c r="F207" s="21"/>
      <x:c r="G207" s="21"/>
    </x:row>
    <x:row r="208">
      <x:c r="F208" s="21"/>
      <x:c r="G208" s="21"/>
    </x:row>
    <x:row r="209">
      <x:c r="F209" s="21"/>
      <x:c r="G209" s="21"/>
    </x:row>
    <x:row r="210">
      <x:c r="F210" s="21"/>
      <x:c r="G210" s="21"/>
    </x:row>
    <x:row r="211">
      <x:c r="F211" s="21"/>
      <x:c r="G211" s="21"/>
    </x:row>
    <x:row r="212">
      <x:c r="F212" s="21"/>
      <x:c r="G212" s="21"/>
    </x:row>
    <x:row r="213">
      <x:c r="F213" s="21"/>
      <x:c r="G213" s="21"/>
    </x:row>
    <x:row r="214">
      <x:c r="F214" s="21"/>
      <x:c r="G214" s="21"/>
    </x:row>
    <x:row r="215">
      <x:c r="F215" s="21"/>
      <x:c r="G215" s="21"/>
    </x:row>
    <x:row r="216">
      <x:c r="F216" s="21"/>
      <x:c r="G216" s="21"/>
    </x:row>
    <x:row r="217">
      <x:c r="F217" s="21"/>
      <x:c r="G217" s="21"/>
    </x:row>
    <x:row r="218">
      <x:c r="F218" s="21"/>
      <x:c r="G218" s="21"/>
    </x:row>
    <x:row r="219">
      <x:c r="F219" s="21"/>
      <x:c r="G219" s="21"/>
    </x:row>
    <x:row r="220">
      <x:c r="F220" s="21"/>
      <x:c r="G220" s="21"/>
    </x:row>
    <x:row r="221">
      <x:c r="F221" s="21"/>
      <x:c r="G221" s="21"/>
    </x:row>
    <x:row r="222">
      <x:c r="F222" s="21"/>
      <x:c r="G222" s="21"/>
    </x:row>
    <x:row r="223">
      <x:c r="F223" s="21"/>
      <x:c r="G223" s="21"/>
    </x:row>
    <x:row r="224">
      <x:c r="F224" s="21"/>
      <x:c r="G224" s="21"/>
    </x:row>
    <x:row r="225">
      <x:c r="F225" s="21"/>
      <x:c r="G225" s="21"/>
    </x:row>
    <x:row r="226">
      <x:c r="F226" s="21"/>
      <x:c r="G226" s="21"/>
    </x:row>
    <x:row r="227">
      <x:c r="F227" s="21"/>
      <x:c r="G227" s="21"/>
    </x:row>
    <x:row r="228">
      <x:c r="F228" s="21"/>
      <x:c r="G228" s="21"/>
    </x:row>
    <x:row r="229">
      <x:c r="F229" s="21"/>
      <x:c r="G229" s="21"/>
    </x:row>
    <x:row r="230">
      <x:c r="F230" s="21"/>
      <x:c r="G230" s="21"/>
    </x:row>
    <x:row r="231">
      <x:c r="F231" s="21"/>
      <x:c r="G231" s="21"/>
    </x:row>
    <x:row r="232">
      <x:c r="F232" s="21"/>
      <x:c r="G232" s="21"/>
    </x:row>
    <x:row r="233">
      <x:c r="F233" s="21"/>
      <x:c r="G233" s="21"/>
    </x:row>
    <x:row r="234">
      <x:c r="F234" s="21"/>
      <x:c r="G234" s="21"/>
    </x:row>
    <x:row r="235">
      <x:c r="F235" s="21"/>
      <x:c r="G235" s="21"/>
    </x:row>
    <x:row r="236">
      <x:c r="F236" s="21"/>
      <x:c r="G236" s="21"/>
    </x:row>
    <x:row r="237">
      <x:c r="F237" s="21"/>
      <x:c r="G237" s="21"/>
    </x:row>
    <x:row r="238">
      <x:c r="F238" s="21"/>
      <x:c r="G238" s="21"/>
    </x:row>
    <x:row r="239">
      <x:c r="F239" s="21"/>
      <x:c r="G239" s="21"/>
    </x:row>
    <x:row r="240">
      <x:c r="F240" s="21"/>
      <x:c r="G240" s="21"/>
    </x:row>
    <x:row r="241">
      <x:c r="F241" s="21"/>
      <x:c r="G241" s="21"/>
    </x:row>
    <x:row r="242">
      <x:c r="F242" s="21"/>
      <x:c r="G242" s="21"/>
    </x:row>
    <x:row r="243">
      <x:c r="F243" s="21"/>
      <x:c r="G243" s="21"/>
    </x:row>
    <x:row r="244">
      <x:c r="F244" s="21"/>
      <x:c r="G244" s="21"/>
    </x:row>
    <x:row r="245">
      <x:c r="F245" s="21"/>
      <x:c r="G245" s="21"/>
    </x:row>
    <x:row r="246">
      <x:c r="F246" s="21"/>
      <x:c r="G246" s="21"/>
    </x:row>
    <x:row r="247">
      <x:c r="F247" s="21"/>
      <x:c r="G247" s="21"/>
    </x:row>
    <x:row r="248">
      <x:c r="F248" s="21"/>
      <x:c r="G248" s="21"/>
    </x:row>
    <x:row r="249">
      <x:c r="F249" s="21"/>
      <x:c r="G249" s="21"/>
    </x:row>
    <x:row r="250">
      <x:c r="F250" s="21"/>
      <x:c r="G250" s="21"/>
    </x:row>
    <x:row r="251">
      <x:c r="F251" s="21"/>
      <x:c r="G251" s="21"/>
    </x:row>
    <x:row r="252">
      <x:c r="F252" s="21"/>
      <x:c r="G252" s="21"/>
    </x:row>
    <x:row r="253">
      <x:c r="F253" s="21"/>
      <x:c r="G253" s="21"/>
    </x:row>
    <x:row r="254">
      <x:c r="F254" s="21"/>
      <x:c r="G254" s="21"/>
    </x:row>
    <x:row r="255">
      <x:c r="F255" s="21"/>
      <x:c r="G255" s="21"/>
    </x:row>
    <x:row r="256">
      <x:c r="F256" s="21"/>
      <x:c r="G256" s="21"/>
    </x:row>
    <x:row r="257">
      <x:c r="F257" s="21"/>
      <x:c r="G257" s="21"/>
    </x:row>
    <x:row r="258">
      <x:c r="F258" s="21"/>
      <x:c r="G258" s="21"/>
    </x:row>
    <x:row r="259">
      <x:c r="F259" s="21"/>
      <x:c r="G259" s="21"/>
    </x:row>
    <x:row r="260">
      <x:c r="F260" s="21"/>
      <x:c r="G260" s="21"/>
    </x:row>
    <x:row r="261">
      <x:c r="F261" s="21"/>
      <x:c r="G261" s="21"/>
    </x:row>
    <x:row r="262">
      <x:c r="F262" s="21"/>
      <x:c r="G262" s="21"/>
    </x:row>
    <x:row r="263">
      <x:c r="F263" s="21"/>
      <x:c r="G263" s="21"/>
    </x:row>
    <x:row r="264">
      <x:c r="F264" s="21"/>
      <x:c r="G264" s="21"/>
    </x:row>
    <x:row r="265">
      <x:c r="F265" s="21"/>
      <x:c r="G265" s="21"/>
    </x:row>
    <x:row r="266">
      <x:c r="F266" s="21"/>
      <x:c r="G266" s="21"/>
    </x:row>
    <x:row r="267">
      <x:c r="F267" s="21"/>
      <x:c r="G267" s="21"/>
    </x:row>
    <x:row r="268">
      <x:c r="F268" s="21"/>
      <x:c r="G268" s="21"/>
    </x:row>
    <x:row r="269">
      <x:c r="F269" s="21"/>
      <x:c r="G269" s="21"/>
    </x:row>
    <x:row r="270">
      <x:c r="F270" s="21"/>
      <x:c r="G270" s="21"/>
    </x:row>
    <x:row r="271">
      <x:c r="F271" s="21"/>
      <x:c r="G271" s="21"/>
    </x:row>
    <x:row r="272">
      <x:c r="F272" s="21"/>
      <x:c r="G272" s="21"/>
    </x:row>
    <x:row r="273">
      <x:c r="F273" s="21"/>
      <x:c r="G273" s="21"/>
    </x:row>
    <x:row r="274">
      <x:c r="F274" s="21"/>
      <x:c r="G274" s="21"/>
    </x:row>
    <x:row r="275">
      <x:c r="F275" s="21"/>
      <x:c r="G275" s="21"/>
    </x:row>
    <x:row r="276">
      <x:c r="F276" s="21"/>
      <x:c r="G276" s="21"/>
    </x:row>
    <x:row r="277">
      <x:c r="F277" s="21"/>
      <x:c r="G277" s="21"/>
    </x:row>
    <x:row r="278">
      <x:c r="F278" s="21"/>
      <x:c r="G278" s="21"/>
    </x:row>
    <x:row r="279">
      <x:c r="F279" s="21"/>
      <x:c r="G279" s="21"/>
    </x:row>
    <x:row r="280">
      <x:c r="F280" s="21"/>
      <x:c r="G280" s="21"/>
    </x:row>
    <x:row r="281">
      <x:c r="F281" s="21"/>
      <x:c r="G281" s="21"/>
    </x:row>
    <x:row r="282">
      <x:c r="F282" s="21"/>
      <x:c r="G282" s="21"/>
    </x:row>
    <x:row r="283">
      <x:c r="F283" s="21"/>
      <x:c r="G283" s="21"/>
    </x:row>
    <x:row r="284">
      <x:c r="F284" s="21"/>
      <x:c r="G284" s="21"/>
    </x:row>
    <x:row r="285">
      <x:c r="F285" s="21"/>
      <x:c r="G285" s="21"/>
    </x:row>
    <x:row r="286">
      <x:c r="F286" s="21"/>
      <x:c r="G286" s="21"/>
    </x:row>
    <x:row r="287">
      <x:c r="F287" s="21"/>
      <x:c r="G287" s="21"/>
    </x:row>
    <x:row r="288">
      <x:c r="F288" s="21"/>
      <x:c r="G288" s="21"/>
    </x:row>
    <x:row r="289">
      <x:c r="F289" s="21"/>
      <x:c r="G289" s="21"/>
    </x:row>
    <x:row r="290">
      <x:c r="F290" s="21"/>
      <x:c r="G290" s="21"/>
    </x:row>
    <x:row r="291">
      <x:c r="F291" s="21"/>
      <x:c r="G291" s="21"/>
    </x:row>
    <x:row r="292">
      <x:c r="F292" s="21"/>
      <x:c r="G292" s="21"/>
    </x:row>
    <x:row r="293">
      <x:c r="F293" s="21"/>
      <x:c r="G293" s="21"/>
    </x:row>
    <x:row r="294">
      <x:c r="F294" s="21"/>
      <x:c r="G294" s="21"/>
    </x:row>
    <x:row r="295">
      <x:c r="F295" s="21"/>
      <x:c r="G295" s="21"/>
    </x:row>
    <x:row r="296">
      <x:c r="F296" s="21"/>
      <x:c r="G296" s="21"/>
    </x:row>
    <x:row r="297">
      <x:c r="F297" s="21"/>
      <x:c r="G297" s="21"/>
    </x:row>
    <x:row r="298">
      <x:c r="F298" s="21"/>
      <x:c r="G298" s="21"/>
    </x:row>
    <x:row r="299">
      <x:c r="F299" s="21"/>
      <x:c r="G299" s="21"/>
    </x:row>
    <x:row r="300">
      <x:c r="F300" s="21"/>
      <x:c r="G300" s="21"/>
    </x:row>
    <x:row r="301">
      <x:c r="F301" s="21"/>
      <x:c r="G301" s="21"/>
    </x:row>
    <x:row r="302">
      <x:c r="F302" s="21"/>
      <x:c r="G302" s="21"/>
    </x:row>
    <x:row r="303">
      <x:c r="F303" s="21"/>
      <x:c r="G303" s="21"/>
    </x:row>
    <x:row r="304">
      <x:c r="F304" s="21"/>
      <x:c r="G304" s="21"/>
    </x:row>
    <x:row r="305">
      <x:c r="F305" s="21"/>
      <x:c r="G305" s="21"/>
    </x:row>
    <x:row r="306">
      <x:c r="F306" s="21"/>
      <x:c r="G306" s="21"/>
    </x:row>
    <x:row r="307">
      <x:c r="F307" s="21"/>
      <x:c r="G307" s="21"/>
    </x:row>
    <x:row r="308">
      <x:c r="F308" s="21"/>
      <x:c r="G308" s="21"/>
    </x:row>
    <x:row r="309">
      <x:c r="F309" s="21"/>
      <x:c r="G309" s="21"/>
    </x:row>
    <x:row r="310">
      <x:c r="F310" s="21"/>
      <x:c r="G310" s="21"/>
    </x:row>
    <x:row r="311">
      <x:c r="F311" s="21"/>
      <x:c r="G311" s="21"/>
    </x:row>
    <x:row r="312">
      <x:c r="F312" s="21"/>
      <x:c r="G312" s="21"/>
    </x:row>
    <x:row r="313">
      <x:c r="F313" s="21"/>
      <x:c r="G313" s="21"/>
    </x:row>
    <x:row r="314">
      <x:c r="F314" s="21"/>
      <x:c r="G314" s="21"/>
    </x:row>
    <x:row r="315">
      <x:c r="F315" s="21"/>
      <x:c r="G315" s="21"/>
    </x:row>
    <x:row r="316">
      <x:c r="F316" s="21"/>
      <x:c r="G316" s="21"/>
    </x:row>
    <x:row r="317">
      <x:c r="F317" s="21"/>
      <x:c r="G317" s="21"/>
    </x:row>
    <x:row r="318">
      <x:c r="F318" s="21"/>
      <x:c r="G318" s="21"/>
    </x:row>
    <x:row r="319">
      <x:c r="F319" s="21"/>
      <x:c r="G319" s="21"/>
    </x:row>
    <x:row r="320">
      <x:c r="F320" s="21"/>
      <x:c r="G320" s="21"/>
    </x:row>
    <x:row r="321">
      <x:c r="F321" s="21"/>
      <x:c r="G321" s="21"/>
    </x:row>
    <x:row r="322">
      <x:c r="F322" s="21"/>
      <x:c r="G322" s="21"/>
    </x:row>
    <x:row r="323">
      <x:c r="F323" s="21"/>
      <x:c r="G323" s="21"/>
    </x:row>
    <x:row r="324">
      <x:c r="F324" s="21"/>
      <x:c r="G324" s="21"/>
    </x:row>
    <x:row r="325">
      <x:c r="F325" s="21"/>
      <x:c r="G325" s="21"/>
    </x:row>
    <x:row r="326">
      <x:c r="F326" s="21"/>
      <x:c r="G326" s="21"/>
    </x:row>
    <x:row r="327">
      <x:c r="F327" s="21"/>
      <x:c r="G327" s="21"/>
    </x:row>
    <x:row r="328">
      <x:c r="F328" s="21"/>
      <x:c r="G328" s="21"/>
    </x:row>
    <x:row r="329">
      <x:c r="F329" s="21"/>
      <x:c r="G329" s="21"/>
    </x:row>
    <x:row r="330">
      <x:c r="F330" s="21"/>
      <x:c r="G330" s="21"/>
    </x:row>
    <x:row r="331">
      <x:c r="F331" s="21"/>
      <x:c r="G331" s="21"/>
    </x:row>
    <x:row r="332">
      <x:c r="F332" s="21"/>
      <x:c r="G332" s="21"/>
    </x:row>
    <x:row r="333">
      <x:c r="F333" s="21"/>
      <x:c r="G333" s="21"/>
    </x:row>
    <x:row r="334">
      <x:c r="F334" s="21"/>
      <x:c r="G334" s="21"/>
    </x:row>
    <x:row r="335">
      <x:c r="F335" s="21"/>
      <x:c r="G335" s="21"/>
    </x:row>
    <x:row r="336">
      <x:c r="F336" s="21"/>
      <x:c r="G336" s="21"/>
    </x:row>
    <x:row r="337">
      <x:c r="F337" s="21"/>
      <x:c r="G337" s="21"/>
    </x:row>
    <x:row r="338">
      <x:c r="F338" s="21"/>
      <x:c r="G338" s="21"/>
    </x:row>
    <x:row r="339">
      <x:c r="F339" s="21"/>
      <x:c r="G339" s="21"/>
    </x:row>
    <x:row r="340">
      <x:c r="F340" s="21"/>
      <x:c r="G340" s="21"/>
    </x:row>
    <x:row r="341">
      <x:c r="F341" s="21"/>
      <x:c r="G341" s="21"/>
    </x:row>
    <x:row r="342">
      <x:c r="F342" s="21"/>
      <x:c r="G342" s="21"/>
    </x:row>
    <x:row r="343">
      <x:c r="F343" s="21"/>
      <x:c r="G343" s="21"/>
    </x:row>
    <x:row r="344">
      <x:c r="F344" s="21"/>
      <x:c r="G344" s="21"/>
    </x:row>
    <x:row r="345">
      <x:c r="F345" s="21"/>
      <x:c r="G345" s="21"/>
    </x:row>
    <x:row r="346">
      <x:c r="F346" s="21"/>
      <x:c r="G346" s="21"/>
    </x:row>
    <x:row r="347">
      <x:c r="F347" s="21"/>
      <x:c r="G347" s="21"/>
    </x:row>
    <x:row r="348">
      <x:c r="F348" s="21"/>
      <x:c r="G348" s="21"/>
    </x:row>
    <x:row r="349">
      <x:c r="F349" s="21"/>
      <x:c r="G349" s="21"/>
    </x:row>
    <x:row r="350">
      <x:c r="F350" s="21"/>
      <x:c r="G350" s="21"/>
    </x:row>
    <x:row r="351">
      <x:c r="F351" s="21"/>
      <x:c r="G351" s="21"/>
    </x:row>
    <x:row r="352">
      <x:c r="F352" s="21"/>
      <x:c r="G352" s="21"/>
    </x:row>
    <x:row r="353">
      <x:c r="F353" s="21"/>
      <x:c r="G353" s="21"/>
    </x:row>
    <x:row r="354">
      <x:c r="F354" s="21"/>
      <x:c r="G354" s="21"/>
    </x:row>
    <x:row r="355">
      <x:c r="F355" s="21"/>
      <x:c r="G355" s="21"/>
    </x:row>
    <x:row r="356">
      <x:c r="F356" s="21"/>
      <x:c r="G356" s="21"/>
    </x:row>
    <x:row r="357">
      <x:c r="F357" s="21"/>
      <x:c r="G357" s="21"/>
    </x:row>
    <x:row r="358">
      <x:c r="F358" s="21"/>
      <x:c r="G358" s="21"/>
    </x:row>
    <x:row r="359">
      <x:c r="F359" s="21"/>
      <x:c r="G359" s="21"/>
    </x:row>
    <x:row r="360">
      <x:c r="F360" s="21"/>
      <x:c r="G360" s="21"/>
    </x:row>
    <x:row r="361">
      <x:c r="F361" s="21"/>
      <x:c r="G361" s="21"/>
    </x:row>
    <x:row r="362">
      <x:c r="F362" s="21"/>
      <x:c r="G362" s="21"/>
    </x:row>
    <x:row r="363">
      <x:c r="F363" s="21"/>
      <x:c r="G363" s="21"/>
    </x:row>
    <x:row r="364">
      <x:c r="F364" s="21"/>
      <x:c r="G364" s="21"/>
    </x:row>
    <x:row r="365">
      <x:c r="F365" s="21"/>
      <x:c r="G365" s="21"/>
    </x:row>
    <x:row r="366">
      <x:c r="F366" s="21"/>
      <x:c r="G366" s="21"/>
    </x:row>
    <x:row r="367">
      <x:c r="F367" s="21"/>
      <x:c r="G367" s="21"/>
    </x:row>
    <x:row r="368">
      <x:c r="F368" s="21"/>
      <x:c r="G368" s="21"/>
    </x:row>
    <x:row r="369">
      <x:c r="F369" s="21"/>
      <x:c r="G369" s="21"/>
    </x:row>
    <x:row r="370">
      <x:c r="F370" s="21"/>
      <x:c r="G370" s="21"/>
    </x:row>
    <x:row r="371">
      <x:c r="F371" s="21"/>
      <x:c r="G371" s="21"/>
    </x:row>
    <x:row r="372">
      <x:c r="F372" s="21"/>
      <x:c r="G372" s="21"/>
    </x:row>
    <x:row r="373">
      <x:c r="F373" s="21"/>
      <x:c r="G373" s="21"/>
    </x:row>
    <x:row r="374">
      <x:c r="F374" s="21"/>
      <x:c r="G374" s="21"/>
    </x:row>
    <x:row r="375">
      <x:c r="F375" s="21"/>
      <x:c r="G375" s="21"/>
    </x:row>
    <x:row r="376">
      <x:c r="F376" s="21"/>
      <x:c r="G376" s="21"/>
    </x:row>
    <x:row r="377">
      <x:c r="F377" s="21"/>
      <x:c r="G377" s="21"/>
    </x:row>
    <x:row r="378">
      <x:c r="F378" s="21"/>
      <x:c r="G378" s="21"/>
    </x:row>
    <x:row r="379">
      <x:c r="F379" s="21"/>
      <x:c r="G379" s="21"/>
    </x:row>
    <x:row r="380">
      <x:c r="F380" s="21"/>
      <x:c r="G380" s="21"/>
    </x:row>
    <x:row r="381">
      <x:c r="F381" s="21"/>
      <x:c r="G381" s="21"/>
    </x:row>
    <x:row r="382">
      <x:c r="F382" s="21"/>
      <x:c r="G382" s="21"/>
    </x:row>
    <x:row r="383">
      <x:c r="F383" s="21"/>
      <x:c r="G383" s="21"/>
    </x:row>
    <x:row r="384">
      <x:c r="F384" s="21"/>
      <x:c r="G384" s="21"/>
    </x:row>
    <x:row r="385">
      <x:c r="F385" s="21"/>
      <x:c r="G385" s="21"/>
    </x:row>
    <x:row r="386">
      <x:c r="F386" s="21"/>
      <x:c r="G386" s="21"/>
    </x:row>
    <x:row r="387">
      <x:c r="F387" s="21"/>
      <x:c r="G387" s="21"/>
    </x:row>
    <x:row r="388">
      <x:c r="F388" s="21"/>
      <x:c r="G388" s="21"/>
    </x:row>
    <x:row r="389">
      <x:c r="F389" s="21"/>
      <x:c r="G389" s="21"/>
    </x:row>
    <x:row r="390">
      <x:c r="F390" s="21"/>
      <x:c r="G390" s="21"/>
    </x:row>
    <x:row r="391">
      <x:c r="F391" s="21"/>
      <x:c r="G391" s="21"/>
    </x:row>
    <x:row r="392">
      <x:c r="F392" s="21"/>
      <x:c r="G392" s="21"/>
    </x:row>
    <x:row r="393">
      <x:c r="F393" s="21"/>
      <x:c r="G393" s="21"/>
    </x:row>
    <x:row r="394">
      <x:c r="F394" s="21"/>
      <x:c r="G394" s="21"/>
    </x:row>
    <x:row r="395">
      <x:c r="F395" s="21"/>
      <x:c r="G395" s="21"/>
    </x:row>
    <x:row r="396">
      <x:c r="F396" s="21"/>
      <x:c r="G396" s="21"/>
    </x:row>
    <x:row r="397">
      <x:c r="F397" s="21"/>
      <x:c r="G397" s="21"/>
    </x:row>
    <x:row r="398">
      <x:c r="F398" s="21"/>
      <x:c r="G398" s="21"/>
    </x:row>
    <x:row r="399">
      <x:c r="F399" s="21"/>
      <x:c r="G399" s="21"/>
    </x:row>
    <x:row r="400">
      <x:c r="F400" s="21"/>
      <x:c r="G400" s="21"/>
    </x:row>
    <x:row r="401">
      <x:c r="F401" s="21"/>
      <x:c r="G401" s="21"/>
    </x:row>
    <x:row r="402">
      <x:c r="F402" s="21"/>
      <x:c r="G402" s="21"/>
    </x:row>
    <x:row r="403">
      <x:c r="F403" s="21"/>
      <x:c r="G403" s="21"/>
    </x:row>
    <x:row r="404">
      <x:c r="F404" s="21"/>
      <x:c r="G404" s="21"/>
    </x:row>
    <x:row r="405">
      <x:c r="F405" s="21"/>
      <x:c r="G405" s="21"/>
    </x:row>
    <x:row r="406">
      <x:c r="F406" s="21"/>
      <x:c r="G406" s="21"/>
    </x:row>
    <x:row r="407">
      <x:c r="F407" s="21"/>
      <x:c r="G407" s="21"/>
    </x:row>
    <x:row r="408">
      <x:c r="F408" s="21"/>
      <x:c r="G408" s="21"/>
    </x:row>
    <x:row r="409">
      <x:c r="F409" s="21"/>
      <x:c r="G409" s="21"/>
    </x:row>
    <x:row r="410">
      <x:c r="F410" s="21"/>
      <x:c r="G410" s="21"/>
    </x:row>
    <x:row r="411">
      <x:c r="F411" s="21"/>
      <x:c r="G411" s="21"/>
    </x:row>
    <x:row r="412">
      <x:c r="F412" s="21"/>
      <x:c r="G412" s="21"/>
    </x:row>
    <x:row r="413">
      <x:c r="F413" s="21"/>
      <x:c r="G413" s="21"/>
    </x:row>
    <x:row r="414">
      <x:c r="F414" s="21"/>
      <x:c r="G414" s="21"/>
    </x:row>
    <x:row r="415">
      <x:c r="F415" s="21"/>
      <x:c r="G415" s="21"/>
    </x:row>
    <x:row r="416">
      <x:c r="F416" s="21"/>
      <x:c r="G416" s="21"/>
    </x:row>
    <x:row r="417">
      <x:c r="F417" s="21"/>
      <x:c r="G417" s="21"/>
    </x:row>
    <x:row r="418">
      <x:c r="F418" s="21"/>
      <x:c r="G418" s="21"/>
    </x:row>
    <x:row r="419">
      <x:c r="F419" s="21"/>
      <x:c r="G419" s="21"/>
    </x:row>
    <x:row r="420">
      <x:c r="F420" s="21"/>
      <x:c r="G420" s="21"/>
    </x:row>
    <x:row r="421">
      <x:c r="F421" s="21"/>
      <x:c r="G421" s="21"/>
    </x:row>
    <x:row r="422">
      <x:c r="F422" s="21"/>
      <x:c r="G422" s="21"/>
    </x:row>
    <x:row r="423">
      <x:c r="F423" s="21"/>
      <x:c r="G423" s="21"/>
    </x:row>
    <x:row r="424">
      <x:c r="F424" s="21"/>
      <x:c r="G424" s="21"/>
    </x:row>
    <x:row r="425">
      <x:c r="F425" s="21"/>
      <x:c r="G425" s="21"/>
    </x:row>
    <x:row r="426">
      <x:c r="F426" s="21"/>
      <x:c r="G426" s="21"/>
    </x:row>
    <x:row r="427">
      <x:c r="F427" s="21"/>
      <x:c r="G427" s="21"/>
    </x:row>
    <x:row r="428">
      <x:c r="F428" s="21"/>
      <x:c r="G428" s="21"/>
    </x:row>
    <x:row r="429">
      <x:c r="F429" s="21"/>
      <x:c r="G429" s="21"/>
    </x:row>
    <x:row r="430">
      <x:c r="F430" s="21"/>
      <x:c r="G430" s="21"/>
    </x:row>
    <x:row r="431">
      <x:c r="F431" s="21"/>
      <x:c r="G431" s="21"/>
    </x:row>
    <x:row r="432">
      <x:c r="F432" s="21"/>
      <x:c r="G432" s="21"/>
    </x:row>
    <x:row r="433">
      <x:c r="F433" s="21"/>
      <x:c r="G433" s="21"/>
    </x:row>
    <x:row r="434">
      <x:c r="F434" s="21"/>
      <x:c r="G434" s="21"/>
    </x:row>
    <x:row r="435">
      <x:c r="F435" s="21"/>
      <x:c r="G435" s="21"/>
    </x:row>
    <x:row r="436">
      <x:c r="F436" s="21"/>
      <x:c r="G436" s="21"/>
    </x:row>
    <x:row r="437">
      <x:c r="F437" s="21"/>
      <x:c r="G437" s="21"/>
    </x:row>
    <x:row r="438">
      <x:c r="F438" s="21"/>
      <x:c r="G438" s="21"/>
    </x:row>
    <x:row r="439">
      <x:c r="F439" s="21"/>
      <x:c r="G439" s="21"/>
    </x:row>
    <x:row r="440">
      <x:c r="F440" s="21"/>
      <x:c r="G440" s="21"/>
    </x:row>
    <x:row r="441">
      <x:c r="F441" s="21"/>
      <x:c r="G441" s="21"/>
    </x:row>
    <x:row r="442">
      <x:c r="F442" s="21"/>
      <x:c r="G442" s="21"/>
    </x:row>
    <x:row r="443">
      <x:c r="F443" s="21"/>
      <x:c r="G443" s="21"/>
    </x:row>
    <x:row r="444">
      <x:c r="F444" s="21"/>
      <x:c r="G444" s="21"/>
    </x:row>
    <x:row r="445">
      <x:c r="F445" s="21"/>
      <x:c r="G445" s="21"/>
    </x:row>
    <x:row r="446">
      <x:c r="F446" s="21"/>
      <x:c r="G446" s="21"/>
    </x:row>
    <x:row r="447">
      <x:c r="F447" s="21"/>
      <x:c r="G447" s="21"/>
    </x:row>
    <x:row r="448">
      <x:c r="F448" s="21"/>
      <x:c r="G448" s="21"/>
    </x:row>
    <x:row r="449">
      <x:c r="F449" s="21"/>
      <x:c r="G449" s="21"/>
    </x:row>
    <x:row r="450">
      <x:c r="F450" s="21"/>
      <x:c r="G450" s="21"/>
    </x:row>
    <x:row r="451">
      <x:c r="F451" s="21"/>
      <x:c r="G451" s="21"/>
    </x:row>
    <x:row r="452">
      <x:c r="F452" s="21"/>
      <x:c r="G452" s="21"/>
    </x:row>
    <x:row r="453">
      <x:c r="F453" s="21"/>
      <x:c r="G453" s="21"/>
    </x:row>
    <x:row r="454">
      <x:c r="F454" s="21"/>
      <x:c r="G454" s="21"/>
    </x:row>
    <x:row r="455">
      <x:c r="F455" s="21"/>
      <x:c r="G455" s="21"/>
    </x:row>
    <x:row r="456">
      <x:c r="F456" s="21"/>
      <x:c r="G456" s="21"/>
    </x:row>
    <x:row r="457">
      <x:c r="F457" s="21"/>
      <x:c r="G457" s="21"/>
    </x:row>
    <x:row r="458">
      <x:c r="F458" s="21"/>
      <x:c r="G458" s="21"/>
    </x:row>
    <x:row r="459">
      <x:c r="F459" s="21"/>
      <x:c r="G459" s="21"/>
    </x:row>
    <x:row r="460">
      <x:c r="F460" s="21"/>
      <x:c r="G460" s="21"/>
    </x:row>
    <x:row r="461">
      <x:c r="F461" s="21"/>
      <x:c r="G461" s="21"/>
    </x:row>
    <x:row r="462">
      <x:c r="F462" s="21"/>
      <x:c r="G462" s="21"/>
    </x:row>
    <x:row r="463">
      <x:c r="F463" s="21"/>
      <x:c r="G463" s="21"/>
    </x:row>
    <x:row r="464">
      <x:c r="F464" s="21"/>
      <x:c r="G464" s="21"/>
    </x:row>
    <x:row r="465">
      <x:c r="F465" s="21"/>
      <x:c r="G465" s="21"/>
    </x:row>
    <x:row r="466">
      <x:c r="F466" s="21"/>
      <x:c r="G466" s="21"/>
    </x:row>
    <x:row r="467">
      <x:c r="F467" s="21"/>
      <x:c r="G467" s="21"/>
    </x:row>
    <x:row r="468">
      <x:c r="F468" s="21"/>
      <x:c r="G468" s="21"/>
    </x:row>
    <x:row r="469">
      <x:c r="F469" s="21"/>
      <x:c r="G469" s="21"/>
    </x:row>
    <x:row r="470">
      <x:c r="F470" s="21"/>
      <x:c r="G470" s="21"/>
    </x:row>
    <x:row r="471">
      <x:c r="F471" s="21"/>
      <x:c r="G471" s="21"/>
    </x:row>
    <x:row r="472">
      <x:c r="F472" s="21"/>
      <x:c r="G472" s="21"/>
    </x:row>
    <x:row r="473">
      <x:c r="F473" s="21"/>
      <x:c r="G473" s="21"/>
    </x:row>
    <x:row r="474">
      <x:c r="F474" s="21"/>
      <x:c r="G474" s="21"/>
    </x:row>
    <x:row r="475">
      <x:c r="F475" s="21"/>
      <x:c r="G475" s="21"/>
    </x:row>
    <x:row r="476">
      <x:c r="F476" s="21"/>
      <x:c r="G476" s="21"/>
    </x:row>
    <x:row r="477">
      <x:c r="F477" s="21"/>
      <x:c r="G477" s="21"/>
    </x:row>
    <x:row r="478">
      <x:c r="F478" s="21"/>
      <x:c r="G478" s="21"/>
    </x:row>
    <x:row r="479">
      <x:c r="F479" s="21"/>
      <x:c r="G479" s="21"/>
    </x:row>
    <x:row r="480">
      <x:c r="F480" s="21"/>
      <x:c r="G480" s="21"/>
    </x:row>
    <x:row r="481">
      <x:c r="F481" s="21"/>
      <x:c r="G481" s="21"/>
    </x:row>
    <x:row r="482">
      <x:c r="F482" s="21"/>
      <x:c r="G482" s="21"/>
    </x:row>
    <x:row r="483">
      <x:c r="F483" s="21"/>
      <x:c r="G483" s="21"/>
    </x:row>
    <x:row r="484">
      <x:c r="F484" s="21"/>
      <x:c r="G484" s="21"/>
    </x:row>
    <x:row r="485">
      <x:c r="F485" s="21"/>
      <x:c r="G485" s="21"/>
    </x:row>
    <x:row r="486">
      <x:c r="F486" s="21"/>
      <x:c r="G486" s="21"/>
    </x:row>
    <x:row r="487">
      <x:c r="F487" s="21"/>
      <x:c r="G487" s="21"/>
    </x:row>
    <x:row r="488">
      <x:c r="F488" s="21"/>
      <x:c r="G488" s="21"/>
    </x:row>
    <x:row r="489">
      <x:c r="F489" s="21"/>
      <x:c r="G489" s="21"/>
    </x:row>
    <x:row r="490">
      <x:c r="F490" s="21"/>
      <x:c r="G490" s="21"/>
    </x:row>
    <x:row r="491">
      <x:c r="F491" s="21"/>
      <x:c r="G491" s="21"/>
    </x:row>
    <x:row r="492">
      <x:c r="F492" s="21"/>
      <x:c r="G492" s="21"/>
    </x:row>
    <x:row r="493">
      <x:c r="F493" s="21"/>
      <x:c r="G493" s="21"/>
    </x:row>
    <x:row r="494">
      <x:c r="F494" s="21"/>
      <x:c r="G494" s="21"/>
    </x:row>
    <x:row r="495">
      <x:c r="F495" s="21"/>
      <x:c r="G495" s="21"/>
    </x:row>
    <x:row r="496">
      <x:c r="F496" s="21"/>
      <x:c r="G496" s="21"/>
    </x:row>
    <x:row r="497">
      <x:c r="F497" s="21"/>
      <x:c r="G497" s="21"/>
    </x:row>
    <x:row r="498">
      <x:c r="F498" s="21"/>
      <x:c r="G498" s="21"/>
    </x:row>
    <x:row r="499">
      <x:c r="F499" s="21"/>
      <x:c r="G499" s="21"/>
    </x:row>
    <x:row r="500">
      <x:c r="F500" s="21"/>
      <x:c r="G500" s="21"/>
    </x:row>
  </x:sheetData>
  <x:pageMargins left="0.7" right="0.7" top="0.75" bottom="0.75" header="0.3" footer="0.3"/>
  <x:tableParts count="1">
    <x:tablePart xmlns:r="http://schemas.openxmlformats.org/officeDocument/2006/relationships" r:id="Rbf750bfb2cd249c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44" hidden="0" customWidth="1"/>
    <x:col min="4" max="4" width="28" hidden="0" customWidth="1"/>
    <x:col min="5" max="5" width="14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8" hidden="0" customWidth="1"/>
    <x:col min="11" max="11" width="20" hidden="0" customWidth="1"/>
    <x:col min="12" max="12" width="36" hidden="0" customWidth="1"/>
  </x:cols>
  <x:sheetData>
    <x:row r="1">
      <x:c r="A1" s="5" t="str">
        <x:v>Metric ID</x:v>
      </x:c>
      <x:c r="B1" s="5" t="str">
        <x:v>Metric Name</x:v>
      </x:c>
      <x:c r="C1" s="5" t="str">
        <x:v>Definition</x:v>
      </x:c>
      <x:c r="D1" s="5" t="str">
        <x:v>Authoritative Source</x:v>
      </x:c>
      <x:c r="E1" s="16" t="str">
        <x:v>Last Update</x:v>
      </x:c>
      <x:c r="F1" s="5" t="str">
        <x:v>Value</x:v>
      </x:c>
      <x:c r="G1" s="5" t="str">
        <x:v>Target</x:v>
      </x:c>
      <x:c r="H1" s="5" t="str">
        <x:v>Unit</x:v>
      </x:c>
      <x:c r="I1" s="5" t="str">
        <x:v>Freshness Days</x:v>
      </x:c>
      <x:c r="J1" s="5" t="str">
        <x:v>Data Confidence</x:v>
      </x:c>
      <x:c r="K1" s="5" t="str">
        <x:v>Used By Grants</x:v>
      </x:c>
      <x:c r="L1" s="5" t="str">
        <x:v>Notes</x:v>
      </x:c>
    </x:row>
    <x:row r="2">
      <x:c r="A2" s="12" t="str">
        <x:v>PM-001</x:v>
      </x:c>
      <x:c r="B2" s="12" t="str">
        <x:v>Participants served</x:v>
      </x:c>
      <x:c r="C2" s="12" t="str">
        <x:v>Unique participants meeting program definition</x:v>
      </x:c>
      <x:c r="D2" s="12" t="str">
        <x:v>Program outcome system</x:v>
      </x:c>
      <x:c r="E2" s="12" t="n">
        <x:v>46266</x:v>
      </x:c>
      <x:c r="F2" s="12" t="n">
        <x:v>78</x:v>
      </x:c>
      <x:c r="G2" s="12" t="n">
        <x:v>100</x:v>
      </x:c>
      <x:c r="H2" s="12" t="str">
        <x:v>participants</x:v>
      </x:c>
      <x:c r="I2" s="12" t="n">
        <x:f>IF(E2="","",Config!$B$2-E2)</x:f>
        <x:v>10</x:v>
      </x:c>
      <x:c r="J2" s="12" t="str">
        <x:f>IF(E2="","UNKNOWN",IF(I2&gt;30,"STALE","CURRENT"))</x:f>
        <x:v>CURRENT</x:v>
      </x:c>
      <x:c r="K2" s="12" t="str">
        <x:v>G-001; G-002</x:v>
      </x:c>
      <x:c r="L2" s="12" t="str">
        <x:v>Reusable program metric</x:v>
      </x:c>
    </x:row>
    <x:row r="3">
      <x:c r="A3" s="12" t="str">
        <x:v>PM-002</x:v>
      </x:c>
      <x:c r="B3" s="12" t="str">
        <x:v>Successful stabilization rate</x:v>
      </x:c>
      <x:c r="C3" s="12" t="str">
        <x:v>Funder-specific numerator/denominator rules</x:v>
      </x:c>
      <x:c r="D3" s="12" t="str">
        <x:v>Program outcome system</x:v>
      </x:c>
      <x:c r="E3" s="12" t="n">
        <x:v>46249</x:v>
      </x:c>
      <x:c r="F3" s="12" t="n">
        <x:v>0.61</x:v>
      </x:c>
      <x:c r="G3" s="12" t="n">
        <x:v>0.7</x:v>
      </x:c>
      <x:c r="H3" s="12" t="str">
        <x:v>rate</x:v>
      </x:c>
      <x:c r="I3" s="12" t="n">
        <x:f>IF(E3="","",Config!$B$2-E3)</x:f>
        <x:v>27</x:v>
      </x:c>
      <x:c r="J3" s="12" t="str">
        <x:f>IF(E3="","UNKNOWN",IF(I3&gt;30,"STALE","CURRENT"))</x:f>
        <x:v>CURRENT</x:v>
      </x:c>
      <x:c r="K3" s="12" t="str">
        <x:v>G-002</x:v>
      </x:c>
      <x:c r="L3" s="12" t="str">
        <x:v>Confirm funder-specific definition before reuse</x:v>
      </x:c>
    </x:row>
  </x:sheetData>
  <x:pageMargins left="0.7" right="0.7" top="0.75" bottom="0.75" header="0.3" footer="0.3"/>
  <x:tableParts count="1">
    <x:tablePart xmlns:r="http://schemas.openxmlformats.org/officeDocument/2006/relationships" r:id="R95417b5e407746b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6" hidden="0" customWidth="1"/>
    <x:col min="4" max="4" width="22" hidden="0" customWidth="1"/>
    <x:col min="5" max="5" width="16" hidden="0" customWidth="1"/>
    <x:col min="6" max="6" width="48" hidden="0" customWidth="1"/>
  </x:cols>
  <x:sheetData>
    <x:row r="1">
      <x:c r="A1" s="5" t="str">
        <x:v>Information Type</x:v>
      </x:c>
      <x:c r="B1" s="5" t="str">
        <x:v>Authoritative System</x:v>
      </x:c>
      <x:c r="C1" s="5" t="str">
        <x:v>Dashboard Role</x:v>
      </x:c>
      <x:c r="D1" s="5" t="str">
        <x:v>Sync Direction</x:v>
      </x:c>
      <x:c r="E1" s="5" t="str">
        <x:v>Status</x:v>
      </x:c>
      <x:c r="F1" s="5" t="str">
        <x:v>Implementation Note</x:v>
      </x:c>
    </x:row>
    <x:row r="2">
      <x:c r="A2" s="12" t="str">
        <x:v>Grant agreements / amendments</x:v>
      </x:c>
      <x:c r="B2" s="12" t="str">
        <x:v>SharePoint / Google Drive (production TBD)</x:v>
      </x:c>
      <x:c r="C2" s="12" t="str">
        <x:v>Link + extracted proposals only</x:v>
      </x:c>
      <x:c r="D2" s="12" t="str">
        <x:v>Source → Dashboard</x:v>
      </x:c>
      <x:c r="E2" s="12" t="str">
        <x:v>MANUAL/TBD</x:v>
      </x:c>
      <x:c r="F2" s="12" t="str">
        <x:v>Do not duplicate document repository</x:v>
      </x:c>
    </x:row>
    <x:row r="3">
      <x:c r="A3" s="12" t="str">
        <x:v>Financial transactions / balances</x:v>
      </x:c>
      <x:c r="B3" s="12" t="str">
        <x:v>Accounting system (TBD)</x:v>
      </x:c>
      <x:c r="C3" s="12" t="str">
        <x:v>Read management indicators + freshness</x:v>
      </x:c>
      <x:c r="D3" s="12" t="str">
        <x:v>Source → Dashboard</x:v>
      </x:c>
      <x:c r="E3" s="12" t="str">
        <x:v>MANUAL/TBD</x:v>
      </x:c>
      <x:c r="F3" s="12" t="str">
        <x:v>Never treat dashboard as accounting ledger</x:v>
      </x:c>
    </x:row>
    <x:row r="4">
      <x:c r="A4" s="12" t="str">
        <x:v>Structured grant requirements</x:v>
      </x:c>
      <x:c r="B4" s="12" t="str">
        <x:v>Grant Dashboard datastore</x:v>
      </x:c>
      <x:c r="C4" s="12" t="str">
        <x:v>Authoritative workflow record</x:v>
      </x:c>
      <x:c r="D4" s="12" t="str">
        <x:v>Dashboard</x:v>
      </x:c>
      <x:c r="E4" s="12" t="str">
        <x:v>ACTIVE</x:v>
      </x:c>
      <x:c r="F4" s="12" t="str">
        <x:v>Verified requirements only</x:v>
      </x:c>
    </x:row>
    <x:row r="5">
      <x:c r="A5" s="12" t="str">
        <x:v>Tasks / dependencies</x:v>
      </x:c>
      <x:c r="B5" s="12" t="str">
        <x:v>Grant Dashboard datastore</x:v>
      </x:c>
      <x:c r="C5" s="12" t="str">
        <x:v>Authoritative workflow record</x:v>
      </x:c>
      <x:c r="D5" s="12" t="str">
        <x:v>Dashboard</x:v>
      </x:c>
      <x:c r="E5" s="12" t="str">
        <x:v>ACTIVE</x:v>
      </x:c>
      <x:c r="F5" s="12" t="str">
        <x:v>Requirement ≠ Task</x:v>
      </x:c>
    </x:row>
    <x:row r="6">
      <x:c r="A6" s="12" t="str">
        <x:v>Calendar deadlines</x:v>
      </x:c>
      <x:c r="B6" s="12" t="str">
        <x:v>Production calendar (TBD)</x:v>
      </x:c>
      <x:c r="C6" s="12" t="str">
        <x:v>Scheduled representation</x:v>
      </x:c>
      <x:c r="D6" s="12" t="str">
        <x:v>Two-way when safe</x:v>
      </x:c>
      <x:c r="E6" s="12" t="str">
        <x:v>MANUAL/TBD</x:v>
      </x:c>
      <x:c r="F6" s="12" t="str">
        <x:v>Use event IDs to prevent duplicates</x:v>
      </x:c>
    </x:row>
    <x:row r="7">
      <x:c r="A7" s="12" t="str">
        <x:v>Evidence / submission receipts</x:v>
      </x:c>
      <x:c r="B7" s="12" t="str">
        <x:v>Existing document repository + dashboard links</x:v>
      </x:c>
      <x:c r="C7" s="12" t="str">
        <x:v>Index + verification state</x:v>
      </x:c>
      <x:c r="D7" s="12" t="str">
        <x:v>Source → Dashboard</x:v>
      </x:c>
      <x:c r="E7" s="12" t="str">
        <x:v>MANUAL/TBD</x:v>
      </x:c>
      <x:c r="F7" s="12" t="str">
        <x:v>Completion requires proof for important obligations</x:v>
      </x:c>
    </x:row>
    <x:row r="8">
      <x:c r="A8" s="12" t="str">
        <x:v>Program outcomes</x:v>
      </x:c>
      <x:c r="B8" s="12" t="str">
        <x:v>Existing outcome system (TBD)</x:v>
      </x:c>
      <x:c r="C8" s="12" t="str">
        <x:v>Reusable aggregate metrics</x:v>
      </x:c>
      <x:c r="D8" s="12" t="str">
        <x:v>Source → Dashboard</x:v>
      </x:c>
      <x:c r="E8" s="12" t="str">
        <x:v>MANUAL/TBD</x:v>
      </x:c>
      <x:c r="F8" s="12" t="str">
        <x:v>Preserve funder-specific definitions</x:v>
      </x:c>
    </x:row>
    <x:row r="9">
      <x:c r="A9" s="12" t="str">
        <x:v>Email change notices</x:v>
      </x:c>
      <x:c r="B9" s="12" t="str">
        <x:v>Production email (TBD)</x:v>
      </x:c>
      <x:c r="C9" s="12" t="str">
        <x:v>Propose changes, never auto-authorize</x:v>
      </x:c>
      <x:c r="D9" s="12" t="str">
        <x:v>Source → Proposed Change</x:v>
      </x:c>
      <x:c r="E9" s="12" t="str">
        <x:v>MANUAL/TBD</x:v>
      </x:c>
      <x:c r="F9" s="12" t="str">
        <x:v>Require human confirmation</x:v>
      </x:c>
    </x:row>
  </x:sheetData>
  <x:pageMargins left="0.7" right="0.7" top="0.75" bottom="0.75" header="0.3" footer="0.3"/>
  <x:tableParts count="1">
    <x:tablePart xmlns:r="http://schemas.openxmlformats.org/officeDocument/2006/relationships" r:id="R163a186a3fa44de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6" hidden="0" customWidth="1"/>
    <x:col min="5" max="5" width="14" hidden="0" customWidth="1"/>
    <x:col min="6" max="6" width="20" hidden="0" customWidth="1"/>
    <x:col min="7" max="7" width="24" hidden="0" customWidth="1"/>
    <x:col min="8" max="8" width="24" hidden="0" customWidth="1"/>
    <x:col min="9" max="9" width="30" hidden="0" customWidth="1"/>
    <x:col min="10" max="10" width="30" hidden="0" customWidth="1"/>
  </x:cols>
  <x:sheetData>
    <x:row r="1">
      <x:c r="A1" s="5" t="str">
        <x:v>Change ID</x:v>
      </x:c>
      <x:c r="B1" s="24" t="str">
        <x:v>Timestamp</x:v>
      </x:c>
      <x:c r="C1" s="5" t="str">
        <x:v>User</x:v>
      </x:c>
      <x:c r="D1" s="5" t="str">
        <x:v>Entity Type</x:v>
      </x:c>
      <x:c r="E1" s="5" t="str">
        <x:v>Entity ID</x:v>
      </x:c>
      <x:c r="F1" s="5" t="str">
        <x:v>Field</x:v>
      </x:c>
      <x:c r="G1" s="5" t="str">
        <x:v>Previous Value</x:v>
      </x:c>
      <x:c r="H1" s="5" t="str">
        <x:v>New Value</x:v>
      </x:c>
      <x:c r="I1" s="5" t="str">
        <x:v>Source/Evidence</x:v>
      </x:c>
      <x:c r="J1" s="5" t="str">
        <x:v>Reason</x:v>
      </x:c>
    </x:row>
    <x:row r="2">
      <x:c r="A2" s="12" t="str">
        <x:v>C-001</x:v>
      </x:c>
      <x:c r="B2" s="12" t="n">
        <x:v>46276.333333333336</x:v>
      </x:c>
      <x:c r="C2" s="12" t="str">
        <x:v>System Build</x:v>
      </x:c>
      <x:c r="D2" s="12" t="str">
        <x:v>System</x:v>
      </x:c>
      <x:c r="E2" s="12" t="str">
        <x:v>MVP</x:v>
      </x:c>
      <x:c r="F2" s="12" t="str">
        <x:v>Initialization</x:v>
      </x:c>
      <x:c r="G2" s="12" t="str"/>
      <x:c r="H2" s="12" t="str">
        <x:v>Portable MVP created</x:v>
      </x:c>
      <x:c r="I2" s="12" t="str">
        <x:v>User request</x:v>
      </x:c>
      <x:c r="J2" s="12" t="str">
        <x:v>Initial build</x:v>
      </x:c>
    </x:row>
  </x:sheetData>
  <x:pageMargins left="0.7" right="0.7" top="0.75" bottom="0.75" header="0.3" footer="0.3"/>
  <x:tableParts count="1">
    <x:tablePart xmlns:r="http://schemas.openxmlformats.org/officeDocument/2006/relationships" r:id="R6d20dec3280d466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4" hidden="0" customWidth="1"/>
    <x:col min="4" max="4" width="36" hidden="0" customWidth="1"/>
    <x:col min="5" max="5" width="20" hidden="0" customWidth="1"/>
    <x:col min="6" max="6" width="13" hidden="0" customWidth="1"/>
    <x:col min="7" max="7" width="40" hidden="0" customWidth="1"/>
    <x:col min="8" max="8" width="12" hidden="0" customWidth="1"/>
    <x:col min="9" max="9" width="26" hidden="0" customWidth="1"/>
  </x:cols>
  <x:sheetData>
    <x:row r="1">
      <x:c r="A1" s="5" t="str">
        <x:v>Rank</x:v>
      </x:c>
      <x:c r="B1" s="5" t="str">
        <x:v>Task ID</x:v>
      </x:c>
      <x:c r="C1" s="5" t="str">
        <x:v>Grant</x:v>
      </x:c>
      <x:c r="D1" s="5" t="str">
        <x:v>Action</x:v>
      </x:c>
      <x:c r="E1" s="5" t="str">
        <x:v>Owner</x:v>
      </x:c>
      <x:c r="F1" s="16" t="str">
        <x:v>Due</x:v>
      </x:c>
      <x:c r="G1" s="5" t="str">
        <x:v>Why it needs attention</x:v>
      </x:c>
      <x:c r="H1" s="5" t="str">
        <x:v>Score</x:v>
      </x:c>
      <x:c r="I1" s="5" t="str">
        <x:v>Recommended Action</x:v>
      </x:c>
    </x:row>
    <x:row r="2">
      <x:c r="A2" s="12" t="n">
        <x:v>1</x:v>
      </x:c>
      <x:c r="B2" s="12" t="str">
        <x:f>IFERROR(INDEX(Tasks!$A$2:$A$500,MATCH(LARGE(Tasks!$R$2:$R$500,A2),Tasks!$R$2:$R$500,0)),"")</x:f>
        <x:v>T-004</x:v>
      </x:c>
      <x:c r="C2" s="12" t="str">
        <x:f>IF(B2="","",INDEX(Grants!$B$2:$B$500,MATCH(INDEX(Tasks!$B$2:$B$500,MATCH(B2,Tasks!$A$2:$A$500,0)),Grants!$A$2:$A$500,0)))</x:f>
        <x:v>SAMPLE — Community Services Grant</x:v>
      </x:c>
      <x:c r="D2" s="12" t="str">
        <x:f>IF(B2="","",INDEX(Tasks!$D$2:$D$500,MATCH(B2,Tasks!$A$2:$A$500,0)))</x:f>
        <x:v>Review financial report</x:v>
      </x:c>
      <x:c r="E2" s="12" t="str">
        <x:f>IF(B2="","",INDEX(Tasks!$E$2:$E$500,MATCH(B2,Tasks!$A$2:$A$500,0)))</x:f>
        <x:v>Associate Director</x:v>
      </x:c>
      <x:c r="F2" s="12" t="n">
        <x:f>IF(B2="","",INDEX(Tasks!$F$2:$F$500,MATCH(B2,Tasks!$A$2:$A$500,0)))</x:f>
        <x:v>46279</x:v>
      </x:c>
      <x:c r="G2" s="12" t="str">
        <x:f>IF(B2="","",INDEX(Tasks!$P$2:$P$500,MATCH(B2,Tasks!$A$2:$A$500,0)))</x:f>
        <x:v>Finance source stale</x:v>
      </x:c>
      <x:c r="H2" s="12" t="n">
        <x:f>IF(B2="","",INDEX(Tasks!$Q$2:$Q$500,MATCH(B2,Tasks!$A$2:$A$500,0)))</x:f>
        <x:v>235</x:v>
      </x:c>
      <x:c r="I2" s="12" t="str">
        <x:f>IF(B2="","",IF(INDEX(Tasks!$M$2:$M$500,MATCH(B2,Tasks!$A$2:$A$500,0))="Yes","Review / act","Monitor owner / escalate by rule"))</x:f>
        <x:v>Review / act</x:v>
      </x:c>
    </x:row>
    <x:row r="3">
      <x:c r="A3" s="12" t="n">
        <x:v>2</x:v>
      </x:c>
      <x:c r="B3" s="12" t="str">
        <x:f>IFERROR(INDEX(Tasks!$A$2:$A$500,MATCH(LARGE(Tasks!$R$2:$R$500,A3),Tasks!$R$2:$R$500,0)),"")</x:f>
        <x:v>T-006</x:v>
      </x:c>
      <x:c r="C3" s="12" t="str">
        <x:f>IF(B3="","",INDEX(Grants!$B$2:$B$500,MATCH(INDEX(Tasks!$B$2:$B$500,MATCH(B3,Tasks!$A$2:$A$500,0)),Grants!$A$2:$A$500,0)))</x:f>
        <x:v>SAMPLE — Community Services Grant</x:v>
      </x:c>
      <x:c r="D3" s="12" t="str">
        <x:f>IF(B3="","",INDEX(Tasks!$D$2:$D$500,MATCH(B3,Tasks!$A$2:$A$500,0)))</x:f>
        <x:v>Submit quarterly report</x:v>
      </x:c>
      <x:c r="E3" s="12" t="str">
        <x:f>IF(B3="","",INDEX(Tasks!$E$2:$E$500,MATCH(B3,Tasks!$A$2:$A$500,0)))</x:f>
        <x:v>Associate Director</x:v>
      </x:c>
      <x:c r="F3" s="12" t="n">
        <x:f>IF(B3="","",INDEX(Tasks!$F$2:$F$500,MATCH(B3,Tasks!$A$2:$A$500,0)))</x:f>
        <x:v>46282</x:v>
      </x:c>
      <x:c r="G3" s="12" t="str">
        <x:f>IF(B3="","",INDEX(Tasks!$P$2:$P$500,MATCH(B3,Tasks!$A$2:$A$500,0)))</x:f>
        <x:v>External deadline</x:v>
      </x:c>
      <x:c r="H3" s="12" t="n">
        <x:f>IF(B3="","",INDEX(Tasks!$Q$2:$Q$500,MATCH(B3,Tasks!$A$2:$A$500,0)))</x:f>
        <x:v>220</x:v>
      </x:c>
      <x:c r="I3" s="12" t="str">
        <x:f>IF(B3="","",IF(INDEX(Tasks!$M$2:$M$500,MATCH(B3,Tasks!$A$2:$A$500,0))="Yes","Review / act","Monitor owner / escalate by rule"))</x:f>
        <x:v>Review / act</x:v>
      </x:c>
    </x:row>
    <x:row r="4">
      <x:c r="A4" s="12" t="n">
        <x:v>3</x:v>
      </x:c>
      <x:c r="B4" s="12" t="str">
        <x:f>IFERROR(INDEX(Tasks!$A$2:$A$500,MATCH(LARGE(Tasks!$R$2:$R$500,A4),Tasks!$R$2:$R$500,0)),"")</x:f>
        <x:v>T-003</x:v>
      </x:c>
      <x:c r="C4" s="12" t="str">
        <x:f>IF(B4="","",INDEX(Grants!$B$2:$B$500,MATCH(INDEX(Tasks!$B$2:$B$500,MATCH(B4,Tasks!$A$2:$A$500,0)),Grants!$A$2:$A$500,0)))</x:f>
        <x:v>SAMPLE — Community Services Grant</x:v>
      </x:c>
      <x:c r="D4" s="12" t="str">
        <x:f>IF(B4="","",INDEX(Tasks!$D$2:$D$500,MATCH(B4,Tasks!$A$2:$A$500,0)))</x:f>
        <x:v>Draft narrative report</x:v>
      </x:c>
      <x:c r="E4" s="12" t="str">
        <x:f>IF(B4="","",INDEX(Tasks!$E$2:$E$500,MATCH(B4,Tasks!$A$2:$A$500,0)))</x:f>
        <x:v>Associate Director</x:v>
      </x:c>
      <x:c r="F4" s="12" t="n">
        <x:f>IF(B4="","",INDEX(Tasks!$F$2:$F$500,MATCH(B4,Tasks!$A$2:$A$500,0)))</x:f>
        <x:v>46278</x:v>
      </x:c>
      <x:c r="G4" s="12" t="str">
        <x:f>IF(B4="","",INDEX(Tasks!$P$2:$P$500,MATCH(B4,Tasks!$A$2:$A$500,0)))</x:f>
        <x:v>Blocked by program data</x:v>
      </x:c>
      <x:c r="H4" s="12" t="n">
        <x:f>IF(B4="","",INDEX(Tasks!$Q$2:$Q$500,MATCH(B4,Tasks!$A$2:$A$500,0)))</x:f>
        <x:v>195</x:v>
      </x:c>
      <x:c r="I4" s="12" t="str">
        <x:f>IF(B4="","",IF(INDEX(Tasks!$M$2:$M$500,MATCH(B4,Tasks!$A$2:$A$500,0))="Yes","Review / act","Monitor owner / escalate by rule"))</x:f>
        <x:v>Review / act</x:v>
      </x:c>
    </x:row>
    <x:row r="5">
      <x:c r="A5" s="12" t="n">
        <x:v>4</x:v>
      </x:c>
      <x:c r="B5" s="12" t="str">
        <x:f>IFERROR(INDEX(Tasks!$A$2:$A$500,MATCH(LARGE(Tasks!$R$2:$R$500,A5),Tasks!$R$2:$R$500,0)),"")</x:f>
        <x:v>T-008</x:v>
      </x:c>
      <x:c r="C5" s="12" t="str">
        <x:f>IF(B5="","",INDEX(Grants!$B$2:$B$500,MATCH(INDEX(Tasks!$B$2:$B$500,MATCH(B5,Tasks!$A$2:$A$500,0)),Grants!$A$2:$A$500,0)))</x:f>
        <x:v>SAMPLE — Family Stabilization Grant</x:v>
      </x:c>
      <x:c r="D5" s="12" t="str">
        <x:f>IF(B5="","",INDEX(Tasks!$D$2:$D$500,MATCH(B5,Tasks!$A$2:$A$500,0)))</x:f>
        <x:v>Review deliverable trajectory</x:v>
      </x:c>
      <x:c r="E5" s="12" t="str">
        <x:f>IF(B5="","",INDEX(Tasks!$E$2:$E$500,MATCH(B5,Tasks!$A$2:$A$500,0)))</x:f>
        <x:v>Associate Director</x:v>
      </x:c>
      <x:c r="F5" s="12" t="n">
        <x:f>IF(B5="","",INDEX(Tasks!$F$2:$F$500,MATCH(B5,Tasks!$A$2:$A$500,0)))</x:f>
        <x:v>46280</x:v>
      </x:c>
      <x:c r="G5" s="12" t="str">
        <x:f>IF(B5="","",INDEX(Tasks!$P$2:$P$500,MATCH(B5,Tasks!$A$2:$A$500,0)))</x:f>
        <x:v>Current performance below plan</x:v>
      </x:c>
      <x:c r="H5" s="12" t="n">
        <x:f>IF(B5="","",INDEX(Tasks!$Q$2:$Q$500,MATCH(B5,Tasks!$A$2:$A$500,0)))</x:f>
        <x:v>180</x:v>
      </x:c>
      <x:c r="I5" s="12" t="str">
        <x:f>IF(B5="","",IF(INDEX(Tasks!$M$2:$M$500,MATCH(B5,Tasks!$A$2:$A$500,0))="Yes","Review / act","Monitor owner / escalate by rule"))</x:f>
        <x:v>Review / act</x:v>
      </x:c>
    </x:row>
    <x:row r="6">
      <x:c r="A6" s="12" t="n">
        <x:v>5</x:v>
      </x:c>
      <x:c r="B6" s="12" t="str">
        <x:f>IFERROR(INDEX(Tasks!$A$2:$A$500,MATCH(LARGE(Tasks!$R$2:$R$500,A6),Tasks!$R$2:$R$500,0)),"")</x:f>
        <x:v>T-005</x:v>
      </x:c>
      <x:c r="C6" s="12" t="str">
        <x:f>IF(B6="","",INDEX(Grants!$B$2:$B$500,MATCH(INDEX(Tasks!$B$2:$B$500,MATCH(B6,Tasks!$A$2:$A$500,0)),Grants!$A$2:$A$500,0)))</x:f>
        <x:v>SAMPLE — Capacity Building Grant</x:v>
      </x:c>
      <x:c r="D6" s="12" t="str">
        <x:f>IF(B6="","",INDEX(Tasks!$D$2:$D$500,MATCH(B6,Tasks!$A$2:$A$500,0)))</x:f>
        <x:v>Make renewal go/no-go decision</x:v>
      </x:c>
      <x:c r="E6" s="12" t="str">
        <x:f>IF(B6="","",INDEX(Tasks!$E$2:$E$500,MATCH(B6,Tasks!$A$2:$A$500,0)))</x:f>
        <x:v>Executive Director</x:v>
      </x:c>
      <x:c r="F6" s="12" t="n">
        <x:f>IF(B6="","",INDEX(Tasks!$F$2:$F$500,MATCH(B6,Tasks!$A$2:$A$500,0)))</x:f>
        <x:v>46281</x:v>
      </x:c>
      <x:c r="G6" s="12" t="str">
        <x:f>IF(B6="","",INDEX(Tasks!$P$2:$P$500,MATCH(B6,Tasks!$A$2:$A$500,0)))</x:f>
        <x:v>Leadership decision needed</x:v>
      </x:c>
      <x:c r="H6" s="12" t="n">
        <x:f>IF(B6="","",INDEX(Tasks!$Q$2:$Q$500,MATCH(B6,Tasks!$A$2:$A$500,0)))</x:f>
        <x:v>150</x:v>
      </x:c>
      <x:c r="I6" s="12" t="str">
        <x:f>IF(B6="","",IF(INDEX(Tasks!$M$2:$M$500,MATCH(B6,Tasks!$A$2:$A$500,0))="Yes","Review / act","Monitor owner / escalate by rule"))</x:f>
        <x:v>Review / act</x:v>
      </x:c>
    </x:row>
    <x:row r="7">
      <x:c r="A7" s="12" t="n">
        <x:v>6</x:v>
      </x:c>
      <x:c r="B7" s="12" t="str">
        <x:f>IFERROR(INDEX(Tasks!$A$2:$A$500,MATCH(LARGE(Tasks!$R$2:$R$500,A7),Tasks!$R$2:$R$500,0)),"")</x:f>
        <x:v>T-002</x:v>
      </x:c>
      <x:c r="C7" s="12" t="str">
        <x:f>IF(B7="","",INDEX(Grants!$B$2:$B$500,MATCH(INDEX(Tasks!$B$2:$B$500,MATCH(B7,Tasks!$A$2:$A$500,0)),Grants!$A$2:$A$500,0)))</x:f>
        <x:v>SAMPLE — Community Services Grant</x:v>
      </x:c>
      <x:c r="D7" s="12" t="str">
        <x:f>IF(B7="","",INDEX(Tasks!$D$2:$D$500,MATCH(B7,Tasks!$A$2:$A$500,0)))</x:f>
        <x:v>Obtain current finance data</x:v>
      </x:c>
      <x:c r="E7" s="12" t="str">
        <x:f>IF(B7="","",INDEX(Tasks!$E$2:$E$500,MATCH(B7,Tasks!$A$2:$A$500,0)))</x:f>
        <x:v>Finance Lead</x:v>
      </x:c>
      <x:c r="F7" s="12" t="n">
        <x:f>IF(B7="","",INDEX(Tasks!$F$2:$F$500,MATCH(B7,Tasks!$A$2:$A$500,0)))</x:f>
        <x:v>46276</x:v>
      </x:c>
      <x:c r="G7" s="12" t="str">
        <x:f>IF(B7="","",INDEX(Tasks!$P$2:$P$500,MATCH(B7,Tasks!$A$2:$A$500,0)))</x:f>
        <x:v>Required for report</x:v>
      </x:c>
      <x:c r="H7" s="12" t="n">
        <x:f>IF(B7="","",INDEX(Tasks!$Q$2:$Q$500,MATCH(B7,Tasks!$A$2:$A$500,0)))</x:f>
        <x:v>135</x:v>
      </x:c>
      <x:c r="I7" s="12" t="str">
        <x:f>IF(B7="","",IF(INDEX(Tasks!$M$2:$M$500,MATCH(B7,Tasks!$A$2:$A$500,0))="Yes","Review / act","Monitor owner / escalate by rule"))</x:f>
        <x:v>Monitor owner / escalate by rule</x:v>
      </x:c>
    </x:row>
    <x:row r="8">
      <x:c r="A8" s="12" t="n">
        <x:v>7</x:v>
      </x:c>
      <x:c r="B8" s="12" t="str">
        <x:f>IFERROR(INDEX(Tasks!$A$2:$A$500,MATCH(LARGE(Tasks!$R$2:$R$500,A8),Tasks!$R$2:$R$500,0)),"")</x:f>
        <x:v>T-001</x:v>
      </x:c>
      <x:c r="C8" s="12" t="str">
        <x:f>IF(B8="","",INDEX(Grants!$B$2:$B$500,MATCH(INDEX(Tasks!$B$2:$B$500,MATCH(B8,Tasks!$A$2:$A$500,0)),Grants!$A$2:$A$500,0)))</x:f>
        <x:v>SAMPLE — Community Services Grant</x:v>
      </x:c>
      <x:c r="D8" s="12" t="str">
        <x:f>IF(B8="","",INDEX(Tasks!$D$2:$D$500,MATCH(B8,Tasks!$A$2:$A$500,0)))</x:f>
        <x:v>Obtain participant/program data</x:v>
      </x:c>
      <x:c r="E8" s="12" t="str">
        <x:f>IF(B8="","",INDEX(Tasks!$E$2:$E$500,MATCH(B8,Tasks!$A$2:$A$500,0)))</x:f>
        <x:v>Program Director</x:v>
      </x:c>
      <x:c r="F8" s="12" t="n">
        <x:f>IF(B8="","",INDEX(Tasks!$F$2:$F$500,MATCH(B8,Tasks!$A$2:$A$500,0)))</x:f>
        <x:v>46275</x:v>
      </x:c>
      <x:c r="G8" s="12" t="str">
        <x:f>IF(B8="","",INDEX(Tasks!$P$2:$P$500,MATCH(B8,Tasks!$A$2:$A$500,0)))</x:f>
        <x:v>Program data was due yesterday</x:v>
      </x:c>
      <x:c r="H8" s="12" t="n">
        <x:f>IF(B8="","",INDEX(Tasks!$Q$2:$Q$500,MATCH(B8,Tasks!$A$2:$A$500,0)))</x:f>
        <x:v>135</x:v>
      </x:c>
      <x:c r="I8" s="12" t="str">
        <x:f>IF(B8="","",IF(INDEX(Tasks!$M$2:$M$500,MATCH(B8,Tasks!$A$2:$A$500,0))="Yes","Review / act","Monitor owner / escalate by rule"))</x:f>
        <x:v>Monitor owner / escalate by rule</x:v>
      </x:c>
    </x:row>
    <x:row r="9">
      <x:c r="A9" s="12" t="n">
        <x:v>8</x:v>
      </x:c>
      <x:c r="B9" s="12" t="str">
        <x:f>IFERROR(INDEX(Tasks!$A$2:$A$500,MATCH(LARGE(Tasks!$R$2:$R$500,A9),Tasks!$R$2:$R$500,0)),"")</x:f>
        <x:v>T-007</x:v>
      </x:c>
      <x:c r="C9" s="12" t="str">
        <x:f>IF(B9="","",INDEX(Grants!$B$2:$B$500,MATCH(INDEX(Tasks!$B$2:$B$500,MATCH(B9,Tasks!$A$2:$A$500,0)),Grants!$A$2:$A$500,0)))</x:f>
        <x:v>SAMPLE — Family Stabilization Grant</x:v>
      </x:c>
      <x:c r="D9" s="12" t="str">
        <x:f>IF(B9="","",INDEX(Tasks!$D$2:$D$500,MATCH(B9,Tasks!$A$2:$A$500,0)))</x:f>
        <x:v>Refresh participant outcome metric</x:v>
      </x:c>
      <x:c r="E9" s="12" t="str">
        <x:f>IF(B9="","",INDEX(Tasks!$E$2:$E$500,MATCH(B9,Tasks!$A$2:$A$500,0)))</x:f>
        <x:v>Program Director</x:v>
      </x:c>
      <x:c r="F9" s="12" t="n">
        <x:f>IF(B9="","",INDEX(Tasks!$F$2:$F$500,MATCH(B9,Tasks!$A$2:$A$500,0)))</x:f>
        <x:v>46303</x:v>
      </x:c>
      <x:c r="G9" s="12" t="str">
        <x:f>IF(B9="","",INDEX(Tasks!$P$2:$P$500,MATCH(B9,Tasks!$A$2:$A$500,0)))</x:f>
      </x:c>
      <x:c r="H9" s="12" t="n">
        <x:f>IF(B9="","",INDEX(Tasks!$Q$2:$Q$500,MATCH(B9,Tasks!$A$2:$A$500,0)))</x:f>
        <x:v>25</x:v>
      </x:c>
      <x:c r="I9" s="12" t="str">
        <x:f>IF(B9="","",IF(INDEX(Tasks!$M$2:$M$500,MATCH(B9,Tasks!$A$2:$A$500,0))="Yes","Review / act","Monitor owner / escalate by rule"))</x:f>
        <x:v>Monitor owner / escalate by rule</x:v>
      </x:c>
    </x:row>
    <x:row r="10">
      <x:c r="A10" s="12" t="n">
        <x:v>9</x:v>
      </x:c>
      <x:c r="B10" s="12" t="str">
        <x:f>IFERROR(INDEX(Tasks!$A$2:$A$500,MATCH(LARGE(Tasks!$R$2:$R$500,A10),Tasks!$R$2:$R$500,0)),"")</x:f>
      </x:c>
      <x:c r="C10" s="12" t="str">
        <x:f>IF(B10="","",INDEX(Grants!$B$2:$B$500,MATCH(INDEX(Tasks!$B$2:$B$500,MATCH(B10,Tasks!$A$2:$A$500,0)),Grants!$A$2:$A$500,0)))</x:f>
      </x:c>
      <x:c r="D10" s="12" t="str">
        <x:f>IF(B10="","",INDEX(Tasks!$D$2:$D$500,MATCH(B10,Tasks!$A$2:$A$500,0)))</x:f>
      </x:c>
      <x:c r="E10" s="12" t="str">
        <x:f>IF(B10="","",INDEX(Tasks!$E$2:$E$500,MATCH(B10,Tasks!$A$2:$A$500,0)))</x:f>
      </x:c>
      <x:c r="F10" s="12" t="str">
        <x:f>IF(B10="","",INDEX(Tasks!$F$2:$F$500,MATCH(B10,Tasks!$A$2:$A$500,0)))</x:f>
      </x:c>
      <x:c r="G10" s="12" t="str">
        <x:f>IF(B10="","",INDEX(Tasks!$P$2:$P$500,MATCH(B10,Tasks!$A$2:$A$500,0)))</x:f>
      </x:c>
      <x:c r="H10" s="12" t="str">
        <x:f>IF(B10="","",INDEX(Tasks!$Q$2:$Q$500,MATCH(B10,Tasks!$A$2:$A$500,0)))</x:f>
      </x:c>
      <x:c r="I10" s="12" t="str">
        <x:f>IF(B10="","",IF(INDEX(Tasks!$M$2:$M$500,MATCH(B10,Tasks!$A$2:$A$500,0))="Yes","Review / act","Monitor owner / escalate by rule"))</x:f>
      </x:c>
    </x:row>
    <x:row r="11">
      <x:c r="A11" s="12" t="n">
        <x:v>10</x:v>
      </x:c>
      <x:c r="B11" s="12" t="str">
        <x:f>IFERROR(INDEX(Tasks!$A$2:$A$500,MATCH(LARGE(Tasks!$R$2:$R$500,A11),Tasks!$R$2:$R$500,0)),"")</x:f>
      </x:c>
      <x:c r="C11" s="12" t="str">
        <x:f>IF(B11="","",INDEX(Grants!$B$2:$B$500,MATCH(INDEX(Tasks!$B$2:$B$500,MATCH(B11,Tasks!$A$2:$A$500,0)),Grants!$A$2:$A$500,0)))</x:f>
      </x:c>
      <x:c r="D11" s="12" t="str">
        <x:f>IF(B11="","",INDEX(Tasks!$D$2:$D$500,MATCH(B11,Tasks!$A$2:$A$500,0)))</x:f>
      </x:c>
      <x:c r="E11" s="12" t="str">
        <x:f>IF(B11="","",INDEX(Tasks!$E$2:$E$500,MATCH(B11,Tasks!$A$2:$A$500,0)))</x:f>
      </x:c>
      <x:c r="F11" s="12" t="str">
        <x:f>IF(B11="","",INDEX(Tasks!$F$2:$F$500,MATCH(B11,Tasks!$A$2:$A$500,0)))</x:f>
      </x:c>
      <x:c r="G11" s="12" t="str">
        <x:f>IF(B11="","",INDEX(Tasks!$P$2:$P$500,MATCH(B11,Tasks!$A$2:$A$500,0)))</x:f>
      </x:c>
      <x:c r="H11" s="12" t="str">
        <x:f>IF(B11="","",INDEX(Tasks!$Q$2:$Q$500,MATCH(B11,Tasks!$A$2:$A$500,0)))</x:f>
      </x:c>
      <x:c r="I11" s="12" t="str">
        <x:f>IF(B11="","",IF(INDEX(Tasks!$M$2:$M$500,MATCH(B11,Tasks!$A$2:$A$500,0))="Yes","Review / act","Monitor owner / escalate by rule"))</x:f>
      </x:c>
    </x:row>
    <x:row r="12">
      <x:c r="A12" s="12" t="n">
        <x:v>11</x:v>
      </x:c>
      <x:c r="B12" s="12" t="str">
        <x:f>IFERROR(INDEX(Tasks!$A$2:$A$500,MATCH(LARGE(Tasks!$R$2:$R$500,A12),Tasks!$R$2:$R$500,0)),"")</x:f>
      </x:c>
      <x:c r="C12" s="12" t="str">
        <x:f>IF(B12="","",INDEX(Grants!$B$2:$B$500,MATCH(INDEX(Tasks!$B$2:$B$500,MATCH(B12,Tasks!$A$2:$A$500,0)),Grants!$A$2:$A$500,0)))</x:f>
      </x:c>
      <x:c r="D12" s="12" t="str">
        <x:f>IF(B12="","",INDEX(Tasks!$D$2:$D$500,MATCH(B12,Tasks!$A$2:$A$500,0)))</x:f>
      </x:c>
      <x:c r="E12" s="12" t="str">
        <x:f>IF(B12="","",INDEX(Tasks!$E$2:$E$500,MATCH(B12,Tasks!$A$2:$A$500,0)))</x:f>
      </x:c>
      <x:c r="F12" s="12" t="str">
        <x:f>IF(B12="","",INDEX(Tasks!$F$2:$F$500,MATCH(B12,Tasks!$A$2:$A$500,0)))</x:f>
      </x:c>
      <x:c r="G12" s="12" t="str">
        <x:f>IF(B12="","",INDEX(Tasks!$P$2:$P$500,MATCH(B12,Tasks!$A$2:$A$500,0)))</x:f>
      </x:c>
      <x:c r="H12" s="12" t="str">
        <x:f>IF(B12="","",INDEX(Tasks!$Q$2:$Q$500,MATCH(B12,Tasks!$A$2:$A$500,0)))</x:f>
      </x:c>
      <x:c r="I12" s="12" t="str">
        <x:f>IF(B12="","",IF(INDEX(Tasks!$M$2:$M$500,MATCH(B12,Tasks!$A$2:$A$500,0))="Yes","Review / act","Monitor owner / escalate by rule"))</x:f>
      </x:c>
    </x:row>
    <x:row r="13">
      <x:c r="A13" s="12" t="n">
        <x:v>12</x:v>
      </x:c>
      <x:c r="B13" s="12" t="str">
        <x:f>IFERROR(INDEX(Tasks!$A$2:$A$500,MATCH(LARGE(Tasks!$R$2:$R$500,A13),Tasks!$R$2:$R$500,0)),"")</x:f>
      </x:c>
      <x:c r="C13" s="12" t="str">
        <x:f>IF(B13="","",INDEX(Grants!$B$2:$B$500,MATCH(INDEX(Tasks!$B$2:$B$500,MATCH(B13,Tasks!$A$2:$A$500,0)),Grants!$A$2:$A$500,0)))</x:f>
      </x:c>
      <x:c r="D13" s="12" t="str">
        <x:f>IF(B13="","",INDEX(Tasks!$D$2:$D$500,MATCH(B13,Tasks!$A$2:$A$500,0)))</x:f>
      </x:c>
      <x:c r="E13" s="12" t="str">
        <x:f>IF(B13="","",INDEX(Tasks!$E$2:$E$500,MATCH(B13,Tasks!$A$2:$A$500,0)))</x:f>
      </x:c>
      <x:c r="F13" s="12" t="str">
        <x:f>IF(B13="","",INDEX(Tasks!$F$2:$F$500,MATCH(B13,Tasks!$A$2:$A$500,0)))</x:f>
      </x:c>
      <x:c r="G13" s="12" t="str">
        <x:f>IF(B13="","",INDEX(Tasks!$P$2:$P$500,MATCH(B13,Tasks!$A$2:$A$500,0)))</x:f>
      </x:c>
      <x:c r="H13" s="12" t="str">
        <x:f>IF(B13="","",INDEX(Tasks!$Q$2:$Q$500,MATCH(B13,Tasks!$A$2:$A$500,0)))</x:f>
      </x:c>
      <x:c r="I13" s="12" t="str">
        <x:f>IF(B13="","",IF(INDEX(Tasks!$M$2:$M$500,MATCH(B13,Tasks!$A$2:$A$500,0))="Yes","Review / act","Monitor owner / escalate by rule"))</x:f>
      </x:c>
    </x:row>
    <x:row r="14">
      <x:c r="A14" s="12" t="n">
        <x:v>13</x:v>
      </x:c>
      <x:c r="B14" s="12" t="str">
        <x:f>IFERROR(INDEX(Tasks!$A$2:$A$500,MATCH(LARGE(Tasks!$R$2:$R$500,A14),Tasks!$R$2:$R$500,0)),"")</x:f>
      </x:c>
      <x:c r="C14" s="12" t="str">
        <x:f>IF(B14="","",INDEX(Grants!$B$2:$B$500,MATCH(INDEX(Tasks!$B$2:$B$500,MATCH(B14,Tasks!$A$2:$A$500,0)),Grants!$A$2:$A$500,0)))</x:f>
      </x:c>
      <x:c r="D14" s="12" t="str">
        <x:f>IF(B14="","",INDEX(Tasks!$D$2:$D$500,MATCH(B14,Tasks!$A$2:$A$500,0)))</x:f>
      </x:c>
      <x:c r="E14" s="12" t="str">
        <x:f>IF(B14="","",INDEX(Tasks!$E$2:$E$500,MATCH(B14,Tasks!$A$2:$A$500,0)))</x:f>
      </x:c>
      <x:c r="F14" s="12" t="str">
        <x:f>IF(B14="","",INDEX(Tasks!$F$2:$F$500,MATCH(B14,Tasks!$A$2:$A$500,0)))</x:f>
      </x:c>
      <x:c r="G14" s="12" t="str">
        <x:f>IF(B14="","",INDEX(Tasks!$P$2:$P$500,MATCH(B14,Tasks!$A$2:$A$500,0)))</x:f>
      </x:c>
      <x:c r="H14" s="12" t="str">
        <x:f>IF(B14="","",INDEX(Tasks!$Q$2:$Q$500,MATCH(B14,Tasks!$A$2:$A$500,0)))</x:f>
      </x:c>
      <x:c r="I14" s="12" t="str">
        <x:f>IF(B14="","",IF(INDEX(Tasks!$M$2:$M$500,MATCH(B14,Tasks!$A$2:$A$500,0))="Yes","Review / act","Monitor owner / escalate by rule"))</x:f>
      </x:c>
    </x:row>
    <x:row r="15">
      <x:c r="A15" s="12" t="n">
        <x:v>14</x:v>
      </x:c>
      <x:c r="B15" s="12" t="str">
        <x:f>IFERROR(INDEX(Tasks!$A$2:$A$500,MATCH(LARGE(Tasks!$R$2:$R$500,A15),Tasks!$R$2:$R$500,0)),"")</x:f>
      </x:c>
      <x:c r="C15" s="12" t="str">
        <x:f>IF(B15="","",INDEX(Grants!$B$2:$B$500,MATCH(INDEX(Tasks!$B$2:$B$500,MATCH(B15,Tasks!$A$2:$A$500,0)),Grants!$A$2:$A$500,0)))</x:f>
      </x:c>
      <x:c r="D15" s="12" t="str">
        <x:f>IF(B15="","",INDEX(Tasks!$D$2:$D$500,MATCH(B15,Tasks!$A$2:$A$500,0)))</x:f>
      </x:c>
      <x:c r="E15" s="12" t="str">
        <x:f>IF(B15="","",INDEX(Tasks!$E$2:$E$500,MATCH(B15,Tasks!$A$2:$A$500,0)))</x:f>
      </x:c>
      <x:c r="F15" s="12" t="str">
        <x:f>IF(B15="","",INDEX(Tasks!$F$2:$F$500,MATCH(B15,Tasks!$A$2:$A$500,0)))</x:f>
      </x:c>
      <x:c r="G15" s="12" t="str">
        <x:f>IF(B15="","",INDEX(Tasks!$P$2:$P$500,MATCH(B15,Tasks!$A$2:$A$500,0)))</x:f>
      </x:c>
      <x:c r="H15" s="12" t="str">
        <x:f>IF(B15="","",INDEX(Tasks!$Q$2:$Q$500,MATCH(B15,Tasks!$A$2:$A$500,0)))</x:f>
      </x:c>
      <x:c r="I15" s="12" t="str">
        <x:f>IF(B15="","",IF(INDEX(Tasks!$M$2:$M$500,MATCH(B15,Tasks!$A$2:$A$500,0))="Yes","Review / act","Monitor owner / escalate by rule"))</x:f>
      </x:c>
    </x:row>
    <x:row r="16">
      <x:c r="A16" s="12" t="n">
        <x:v>15</x:v>
      </x:c>
      <x:c r="B16" s="12" t="str">
        <x:f>IFERROR(INDEX(Tasks!$A$2:$A$500,MATCH(LARGE(Tasks!$R$2:$R$500,A16),Tasks!$R$2:$R$500,0)),"")</x:f>
      </x:c>
      <x:c r="C16" s="12" t="str">
        <x:f>IF(B16="","",INDEX(Grants!$B$2:$B$500,MATCH(INDEX(Tasks!$B$2:$B$500,MATCH(B16,Tasks!$A$2:$A$500,0)),Grants!$A$2:$A$500,0)))</x:f>
      </x:c>
      <x:c r="D16" s="12" t="str">
        <x:f>IF(B16="","",INDEX(Tasks!$D$2:$D$500,MATCH(B16,Tasks!$A$2:$A$500,0)))</x:f>
      </x:c>
      <x:c r="E16" s="12" t="str">
        <x:f>IF(B16="","",INDEX(Tasks!$E$2:$E$500,MATCH(B16,Tasks!$A$2:$A$500,0)))</x:f>
      </x:c>
      <x:c r="F16" s="12" t="str">
        <x:f>IF(B16="","",INDEX(Tasks!$F$2:$F$500,MATCH(B16,Tasks!$A$2:$A$500,0)))</x:f>
      </x:c>
      <x:c r="G16" s="12" t="str">
        <x:f>IF(B16="","",INDEX(Tasks!$P$2:$P$500,MATCH(B16,Tasks!$A$2:$A$500,0)))</x:f>
      </x:c>
      <x:c r="H16" s="12" t="str">
        <x:f>IF(B16="","",INDEX(Tasks!$Q$2:$Q$500,MATCH(B16,Tasks!$A$2:$A$500,0)))</x:f>
      </x:c>
      <x:c r="I16" s="12" t="str">
        <x:f>IF(B16="","",IF(INDEX(Tasks!$M$2:$M$500,MATCH(B16,Tasks!$A$2:$A$500,0))="Yes","Review / act","Monitor owner / escalate by rule"))</x:f>
      </x:c>
    </x:row>
    <x:row r="17">
      <x:c r="A17" s="12" t="n">
        <x:v>16</x:v>
      </x:c>
      <x:c r="B17" s="12" t="str">
        <x:f>IFERROR(INDEX(Tasks!$A$2:$A$500,MATCH(LARGE(Tasks!$R$2:$R$500,A17),Tasks!$R$2:$R$500,0)),"")</x:f>
      </x:c>
      <x:c r="C17" s="12" t="str">
        <x:f>IF(B17="","",INDEX(Grants!$B$2:$B$500,MATCH(INDEX(Tasks!$B$2:$B$500,MATCH(B17,Tasks!$A$2:$A$500,0)),Grants!$A$2:$A$500,0)))</x:f>
      </x:c>
      <x:c r="D17" s="12" t="str">
        <x:f>IF(B17="","",INDEX(Tasks!$D$2:$D$500,MATCH(B17,Tasks!$A$2:$A$500,0)))</x:f>
      </x:c>
      <x:c r="E17" s="12" t="str">
        <x:f>IF(B17="","",INDEX(Tasks!$E$2:$E$500,MATCH(B17,Tasks!$A$2:$A$500,0)))</x:f>
      </x:c>
      <x:c r="F17" s="12" t="str">
        <x:f>IF(B17="","",INDEX(Tasks!$F$2:$F$500,MATCH(B17,Tasks!$A$2:$A$500,0)))</x:f>
      </x:c>
      <x:c r="G17" s="12" t="str">
        <x:f>IF(B17="","",INDEX(Tasks!$P$2:$P$500,MATCH(B17,Tasks!$A$2:$A$500,0)))</x:f>
      </x:c>
      <x:c r="H17" s="12" t="str">
        <x:f>IF(B17="","",INDEX(Tasks!$Q$2:$Q$500,MATCH(B17,Tasks!$A$2:$A$500,0)))</x:f>
      </x:c>
      <x:c r="I17" s="12" t="str">
        <x:f>IF(B17="","",IF(INDEX(Tasks!$M$2:$M$500,MATCH(B17,Tasks!$A$2:$A$500,0))="Yes","Review / act","Monitor owner / escalate by rule"))</x:f>
      </x:c>
    </x:row>
    <x:row r="18">
      <x:c r="A18" s="12" t="n">
        <x:v>17</x:v>
      </x:c>
      <x:c r="B18" s="12" t="str">
        <x:f>IFERROR(INDEX(Tasks!$A$2:$A$500,MATCH(LARGE(Tasks!$R$2:$R$500,A18),Tasks!$R$2:$R$500,0)),"")</x:f>
      </x:c>
      <x:c r="C18" s="12" t="str">
        <x:f>IF(B18="","",INDEX(Grants!$B$2:$B$500,MATCH(INDEX(Tasks!$B$2:$B$500,MATCH(B18,Tasks!$A$2:$A$500,0)),Grants!$A$2:$A$500,0)))</x:f>
      </x:c>
      <x:c r="D18" s="12" t="str">
        <x:f>IF(B18="","",INDEX(Tasks!$D$2:$D$500,MATCH(B18,Tasks!$A$2:$A$500,0)))</x:f>
      </x:c>
      <x:c r="E18" s="12" t="str">
        <x:f>IF(B18="","",INDEX(Tasks!$E$2:$E$500,MATCH(B18,Tasks!$A$2:$A$500,0)))</x:f>
      </x:c>
      <x:c r="F18" s="12" t="str">
        <x:f>IF(B18="","",INDEX(Tasks!$F$2:$F$500,MATCH(B18,Tasks!$A$2:$A$500,0)))</x:f>
      </x:c>
      <x:c r="G18" s="12" t="str">
        <x:f>IF(B18="","",INDEX(Tasks!$P$2:$P$500,MATCH(B18,Tasks!$A$2:$A$500,0)))</x:f>
      </x:c>
      <x:c r="H18" s="12" t="str">
        <x:f>IF(B18="","",INDEX(Tasks!$Q$2:$Q$500,MATCH(B18,Tasks!$A$2:$A$500,0)))</x:f>
      </x:c>
      <x:c r="I18" s="12" t="str">
        <x:f>IF(B18="","",IF(INDEX(Tasks!$M$2:$M$500,MATCH(B18,Tasks!$A$2:$A$500,0))="Yes","Review / act","Monitor owner / escalate by rule"))</x:f>
      </x:c>
    </x:row>
    <x:row r="19">
      <x:c r="A19" s="12" t="n">
        <x:v>18</x:v>
      </x:c>
      <x:c r="B19" s="12" t="str">
        <x:f>IFERROR(INDEX(Tasks!$A$2:$A$500,MATCH(LARGE(Tasks!$R$2:$R$500,A19),Tasks!$R$2:$R$500,0)),"")</x:f>
      </x:c>
      <x:c r="C19" s="12" t="str">
        <x:f>IF(B19="","",INDEX(Grants!$B$2:$B$500,MATCH(INDEX(Tasks!$B$2:$B$500,MATCH(B19,Tasks!$A$2:$A$500,0)),Grants!$A$2:$A$500,0)))</x:f>
      </x:c>
      <x:c r="D19" s="12" t="str">
        <x:f>IF(B19="","",INDEX(Tasks!$D$2:$D$500,MATCH(B19,Tasks!$A$2:$A$500,0)))</x:f>
      </x:c>
      <x:c r="E19" s="12" t="str">
        <x:f>IF(B19="","",INDEX(Tasks!$E$2:$E$500,MATCH(B19,Tasks!$A$2:$A$500,0)))</x:f>
      </x:c>
      <x:c r="F19" s="12" t="str">
        <x:f>IF(B19="","",INDEX(Tasks!$F$2:$F$500,MATCH(B19,Tasks!$A$2:$A$500,0)))</x:f>
      </x:c>
      <x:c r="G19" s="12" t="str">
        <x:f>IF(B19="","",INDEX(Tasks!$P$2:$P$500,MATCH(B19,Tasks!$A$2:$A$500,0)))</x:f>
      </x:c>
      <x:c r="H19" s="12" t="str">
        <x:f>IF(B19="","",INDEX(Tasks!$Q$2:$Q$500,MATCH(B19,Tasks!$A$2:$A$500,0)))</x:f>
      </x:c>
      <x:c r="I19" s="12" t="str">
        <x:f>IF(B19="","",IF(INDEX(Tasks!$M$2:$M$500,MATCH(B19,Tasks!$A$2:$A$500,0))="Yes","Review / act","Monitor owner / escalate by rule"))</x:f>
      </x:c>
    </x:row>
    <x:row r="20">
      <x:c r="A20" s="12" t="n">
        <x:v>19</x:v>
      </x:c>
      <x:c r="B20" s="12" t="str">
        <x:f>IFERROR(INDEX(Tasks!$A$2:$A$500,MATCH(LARGE(Tasks!$R$2:$R$500,A20),Tasks!$R$2:$R$500,0)),"")</x:f>
      </x:c>
      <x:c r="C20" s="12" t="str">
        <x:f>IF(B20="","",INDEX(Grants!$B$2:$B$500,MATCH(INDEX(Tasks!$B$2:$B$500,MATCH(B20,Tasks!$A$2:$A$500,0)),Grants!$A$2:$A$500,0)))</x:f>
      </x:c>
      <x:c r="D20" s="12" t="str">
        <x:f>IF(B20="","",INDEX(Tasks!$D$2:$D$500,MATCH(B20,Tasks!$A$2:$A$500,0)))</x:f>
      </x:c>
      <x:c r="E20" s="12" t="str">
        <x:f>IF(B20="","",INDEX(Tasks!$E$2:$E$500,MATCH(B20,Tasks!$A$2:$A$500,0)))</x:f>
      </x:c>
      <x:c r="F20" s="12" t="str">
        <x:f>IF(B20="","",INDEX(Tasks!$F$2:$F$500,MATCH(B20,Tasks!$A$2:$A$500,0)))</x:f>
      </x:c>
      <x:c r="G20" s="12" t="str">
        <x:f>IF(B20="","",INDEX(Tasks!$P$2:$P$500,MATCH(B20,Tasks!$A$2:$A$500,0)))</x:f>
      </x:c>
      <x:c r="H20" s="12" t="str">
        <x:f>IF(B20="","",INDEX(Tasks!$Q$2:$Q$500,MATCH(B20,Tasks!$A$2:$A$500,0)))</x:f>
      </x:c>
      <x:c r="I20" s="12" t="str">
        <x:f>IF(B20="","",IF(INDEX(Tasks!$M$2:$M$500,MATCH(B20,Tasks!$A$2:$A$500,0))="Yes","Review / act","Monitor owner / escalate by rule"))</x:f>
      </x:c>
    </x:row>
    <x:row r="21">
      <x:c r="A21" s="12" t="n">
        <x:v>20</x:v>
      </x:c>
      <x:c r="B21" s="12" t="str">
        <x:f>IFERROR(INDEX(Tasks!$A$2:$A$500,MATCH(LARGE(Tasks!$R$2:$R$500,A21),Tasks!$R$2:$R$500,0)),"")</x:f>
      </x:c>
      <x:c r="C21" s="12" t="str">
        <x:f>IF(B21="","",INDEX(Grants!$B$2:$B$500,MATCH(INDEX(Tasks!$B$2:$B$500,MATCH(B21,Tasks!$A$2:$A$500,0)),Grants!$A$2:$A$500,0)))</x:f>
      </x:c>
      <x:c r="D21" s="12" t="str">
        <x:f>IF(B21="","",INDEX(Tasks!$D$2:$D$500,MATCH(B21,Tasks!$A$2:$A$500,0)))</x:f>
      </x:c>
      <x:c r="E21" s="12" t="str">
        <x:f>IF(B21="","",INDEX(Tasks!$E$2:$E$500,MATCH(B21,Tasks!$A$2:$A$500,0)))</x:f>
      </x:c>
      <x:c r="F21" s="12" t="str">
        <x:f>IF(B21="","",INDEX(Tasks!$F$2:$F$500,MATCH(B21,Tasks!$A$2:$A$500,0)))</x:f>
      </x:c>
      <x:c r="G21" s="12" t="str">
        <x:f>IF(B21="","",INDEX(Tasks!$P$2:$P$500,MATCH(B21,Tasks!$A$2:$A$500,0)))</x:f>
      </x:c>
      <x:c r="H21" s="12" t="str">
        <x:f>IF(B21="","",INDEX(Tasks!$Q$2:$Q$500,MATCH(B21,Tasks!$A$2:$A$500,0)))</x:f>
      </x:c>
      <x:c r="I21" s="12" t="str">
        <x:f>IF(B21="","",IF(INDEX(Tasks!$M$2:$M$500,MATCH(B21,Tasks!$A$2:$A$500,0))="Yes","Review / act","Monitor owner / escalate by rule"))</x:f>
      </x:c>
    </x:row>
  </x:sheetData>
  <x:conditionalFormatting sqref="H2:H21">
    <x:cfRule type="cellIs" dxfId="0" priority="1" operator="greaterThanOrEqual">
      <x:formula>150</x:formula>
    </x:cfRule>
    <x:cfRule type="cellIs" dxfId="1" priority="2" operator="between">
      <x:formula>110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20" hidden="0" customWidth="1"/>
    <x:col min="5" max="5" width="14" hidden="0" customWidth="1"/>
    <x:col min="6" max="6" width="42" hidden="0" customWidth="1"/>
    <x:col min="7" max="7" width="12" hidden="0" customWidth="1"/>
    <x:col min="8" max="8" width="24" hidden="0" customWidth="1"/>
  </x:cols>
  <x:sheetData>
    <x:row r="1">
      <x:c r="A1" s="50" t="str">
        <x:v>GRANT MANAGEMENT — ACTION DASHBOARD</x:v>
      </x:c>
      <x:c r="B1" s="50"/>
      <x:c r="C1" s="50"/>
      <x:c r="D1" s="50"/>
      <x:c r="E1" s="50"/>
      <x:c r="F1" s="50"/>
      <x:c r="G1" s="50"/>
      <x:c r="H1" s="50"/>
    </x:row>
    <x:row r="2">
      <x:c r="A2" s="28"/>
      <x:c r="B2" s="28"/>
      <x:c r="C2" s="28"/>
      <x:c r="D2" s="28"/>
      <x:c r="E2" s="28"/>
      <x:c r="F2" s="28"/>
      <x:c r="G2" s="28"/>
      <x:c r="H2" s="28"/>
    </x:row>
    <x:row r="4">
      <x:c r="A4" s="34" t="str">
        <x:v>What needs my attention now, and can I trust that everything else is being tracked?</x:v>
      </x:c>
      <x:c r="B4" s="34"/>
      <x:c r="C4" s="34"/>
      <x:c r="D4" s="34"/>
      <x:c r="E4" s="34"/>
      <x:c r="F4" s="34"/>
      <x:c r="G4" s="34"/>
      <x:c r="H4" s="34"/>
    </x:row>
    <x:row r="6">
      <x:c r="A6" s="5" t="str">
        <x:v>Portfolio Signal</x:v>
      </x:c>
      <x:c r="B6" s="5" t="str">
        <x:v>Value</x:v>
      </x:c>
      <x:c r="D6" s="5" t="str">
        <x:v>Trust Check</x:v>
      </x:c>
      <x:c r="E6" s="5" t="str"/>
      <x:c r="F6" s="5" t="str"/>
      <x:c r="G6" s="5" t="str"/>
      <x:c r="H6" s="5" t="str"/>
    </x:row>
    <x:row r="7">
      <x:c r="A7" s="34" t="str">
        <x:v>Active grants</x:v>
      </x:c>
      <x:c r="B7" t="n">
        <x:f>COUNTIF(Grants!N2:N500,"Active")</x:f>
        <x:v>3</x:v>
      </x:c>
      <x:c r="D7" s="34" t="str">
        <x:v>Dimension</x:v>
      </x:c>
      <x:c r="E7" s="34" t="str">
        <x:v>Status</x:v>
      </x:c>
      <x:c r="F7" s="34" t="str">
        <x:v>Basis</x:v>
      </x:c>
      <x:c r="G7" s="34" t="str">
        <x:v>Last/Next Check</x:v>
      </x:c>
      <x:c r="H7" s="34" t="str">
        <x:v>Action</x:v>
      </x:c>
    </x:row>
    <x:row r="8">
      <x:c r="A8" s="34" t="str">
        <x:v>Open issues</x:v>
      </x:c>
      <x:c r="B8" t="n">
        <x:f>COUNTIF(Issues!J2:J500,"Open")</x:f>
        <x:v>4</x:v>
      </x:c>
      <x:c r="D8" t="str">
        <x:v>Deadline Health</x:v>
      </x:c>
      <x:c r="E8" t="str">
        <x:v>AT RISK</x:v>
      </x:c>
      <x:c r="F8" t="str">
        <x:v>Overdue dependency exists</x:v>
      </x:c>
      <x:c r="G8" t="str">
        <x:v>Daily</x:v>
      </x:c>
      <x:c r="H8" t="str">
        <x:v>Review Action Queue</x:v>
      </x:c>
    </x:row>
    <x:row r="9">
      <x:c r="A9" s="34" t="str">
        <x:v>Critical action items</x:v>
      </x:c>
      <x:c r="B9" t="n">
        <x:f>COUNTIF(Tasks!Q2:Q500,"&gt;="&amp;Config!B3)</x:f>
        <x:v>5</x:v>
      </x:c>
      <x:c r="D9" t="str">
        <x:v>Financial Health</x:v>
      </x:c>
      <x:c r="E9" s="39" t="str">
        <x:v>UNKNOWN</x:v>
      </x:c>
      <x:c r="F9" t="str">
        <x:v>At least one stale/missing authoritative update</x:v>
      </x:c>
      <x:c r="G9" t="str">
        <x:v>Daily</x:v>
      </x:c>
      <x:c r="H9" t="str">
        <x:v>Request finance refresh</x:v>
      </x:c>
    </x:row>
    <x:row r="10">
      <x:c r="A10" s="34" t="str">
        <x:v>Unknown/stale financials</x:v>
      </x:c>
      <x:c r="B10" t="n">
        <x:f>COUNTIF(Financials!J2:J500,"UNKNOWN")</x:f>
        <x:v>1</x:v>
      </x:c>
      <x:c r="D10" t="str">
        <x:v>Compliance / Evidence</x:v>
      </x:c>
      <x:c r="E10" t="str">
        <x:v>AT RISK</x:v>
      </x:c>
      <x:c r="F10" t="str">
        <x:v>Required evidence missing on open obligations</x:v>
      </x:c>
      <x:c r="G10" t="str">
        <x:v>Weekly</x:v>
      </x:c>
      <x:c r="H10" t="str">
        <x:v>Verify evidence</x:v>
      </x:c>
    </x:row>
    <x:row r="12">
      <x:c r="A12" s="5" t="str">
        <x:v>TOP ACTIONS</x:v>
      </x:c>
      <x:c r="B12" s="5"/>
      <x:c r="C12" s="5"/>
      <x:c r="D12" s="5"/>
      <x:c r="E12" s="5"/>
      <x:c r="F12" s="5"/>
      <x:c r="G12" s="5"/>
      <x:c r="H12" s="5"/>
    </x:row>
    <x:row r="13">
      <x:c r="A13" s="34" t="str">
        <x:v>Rank</x:v>
      </x:c>
      <x:c r="B13" s="34" t="str">
        <x:v>Grant</x:v>
      </x:c>
      <x:c r="C13" s="34" t="str">
        <x:v>Action</x:v>
      </x:c>
      <x:c r="D13" s="34" t="str">
        <x:v>Owner</x:v>
      </x:c>
      <x:c r="E13" s="34" t="str">
        <x:v>Due</x:v>
      </x:c>
      <x:c r="F13" s="34" t="str">
        <x:v>Reason</x:v>
      </x:c>
      <x:c r="G13" s="34" t="str">
        <x:v>Score</x:v>
      </x:c>
      <x:c r="H13" s="34" t="str">
        <x:v>Next step</x:v>
      </x:c>
    </x:row>
    <x:row r="14">
      <x:c r="A14" s="42" t="n">
        <x:v>1</x:v>
      </x:c>
      <x:c r="B14" t="str">
        <x:f>ActionQueue!C2</x:f>
        <x:v>SAMPLE — Community Services Grant</x:v>
      </x:c>
      <x:c r="C14" t="str">
        <x:f>ActionQueue!D2</x:f>
        <x:v>Review financial report</x:v>
      </x:c>
      <x:c r="D14" t="str">
        <x:f>ActionQueue!E2</x:f>
        <x:v>Associate Director</x:v>
      </x:c>
      <x:c r="E14" s="10" t="n">
        <x:f>ActionQueue!F2</x:f>
        <x:v>46279</x:v>
      </x:c>
      <x:c r="F14" t="str">
        <x:f>ActionQueue!G2</x:f>
        <x:v>Finance source stale</x:v>
      </x:c>
      <x:c r="G14" t="n">
        <x:f>ActionQueue!H2</x:f>
        <x:v>235</x:v>
      </x:c>
      <x:c r="H14" t="str">
        <x:f>ActionQueue!I2</x:f>
        <x:v>Review / act</x:v>
      </x:c>
    </x:row>
    <x:row r="15">
      <x:c r="A15" s="42" t="n">
        <x:v>2</x:v>
      </x:c>
      <x:c r="B15" t="str">
        <x:f>ActionQueue!C3</x:f>
        <x:v>SAMPLE — Community Services Grant</x:v>
      </x:c>
      <x:c r="C15" t="str">
        <x:f>ActionQueue!D3</x:f>
        <x:v>Submit quarterly report</x:v>
      </x:c>
      <x:c r="D15" t="str">
        <x:f>ActionQueue!E3</x:f>
        <x:v>Associate Director</x:v>
      </x:c>
      <x:c r="E15" s="10" t="n">
        <x:f>ActionQueue!F3</x:f>
        <x:v>46282</x:v>
      </x:c>
      <x:c r="F15" t="str">
        <x:f>ActionQueue!G3</x:f>
        <x:v>External deadline</x:v>
      </x:c>
      <x:c r="G15" t="n">
        <x:f>ActionQueue!H3</x:f>
        <x:v>220</x:v>
      </x:c>
      <x:c r="H15" t="str">
        <x:f>ActionQueue!I3</x:f>
        <x:v>Review / act</x:v>
      </x:c>
    </x:row>
    <x:row r="16">
      <x:c r="A16" s="42" t="n">
        <x:v>3</x:v>
      </x:c>
      <x:c r="B16" t="str">
        <x:f>ActionQueue!C4</x:f>
        <x:v>SAMPLE — Community Services Grant</x:v>
      </x:c>
      <x:c r="C16" t="str">
        <x:f>ActionQueue!D4</x:f>
        <x:v>Draft narrative report</x:v>
      </x:c>
      <x:c r="D16" t="str">
        <x:f>ActionQueue!E4</x:f>
        <x:v>Associate Director</x:v>
      </x:c>
      <x:c r="E16" s="10" t="n">
        <x:f>ActionQueue!F4</x:f>
        <x:v>46278</x:v>
      </x:c>
      <x:c r="F16" t="str">
        <x:f>ActionQueue!G4</x:f>
        <x:v>Blocked by program data</x:v>
      </x:c>
      <x:c r="G16" t="n">
        <x:f>ActionQueue!H4</x:f>
        <x:v>195</x:v>
      </x:c>
      <x:c r="H16" t="str">
        <x:f>ActionQueue!I4</x:f>
        <x:v>Review / act</x:v>
      </x:c>
    </x:row>
    <x:row r="17">
      <x:c r="A17" s="42" t="n">
        <x:v>4</x:v>
      </x:c>
      <x:c r="B17" t="str">
        <x:f>ActionQueue!C5</x:f>
        <x:v>SAMPLE — Family Stabilization Grant</x:v>
      </x:c>
      <x:c r="C17" t="str">
        <x:f>ActionQueue!D5</x:f>
        <x:v>Review deliverable trajectory</x:v>
      </x:c>
      <x:c r="D17" t="str">
        <x:f>ActionQueue!E5</x:f>
        <x:v>Associate Director</x:v>
      </x:c>
      <x:c r="E17" s="10" t="n">
        <x:f>ActionQueue!F5</x:f>
        <x:v>46280</x:v>
      </x:c>
      <x:c r="F17" t="str">
        <x:f>ActionQueue!G5</x:f>
        <x:v>Current performance below plan</x:v>
      </x:c>
      <x:c r="G17" t="n">
        <x:f>ActionQueue!H5</x:f>
        <x:v>180</x:v>
      </x:c>
      <x:c r="H17" t="str">
        <x:f>ActionQueue!I5</x:f>
        <x:v>Review / act</x:v>
      </x:c>
    </x:row>
    <x:row r="18">
      <x:c r="A18" s="42" t="n">
        <x:v>5</x:v>
      </x:c>
      <x:c r="B18" t="str">
        <x:f>ActionQueue!C6</x:f>
        <x:v>SAMPLE — Capacity Building Grant</x:v>
      </x:c>
      <x:c r="C18" t="str">
        <x:f>ActionQueue!D6</x:f>
        <x:v>Make renewal go/no-go decision</x:v>
      </x:c>
      <x:c r="D18" t="str">
        <x:f>ActionQueue!E6</x:f>
        <x:v>Executive Director</x:v>
      </x:c>
      <x:c r="E18" s="10" t="n">
        <x:f>ActionQueue!F6</x:f>
        <x:v>46281</x:v>
      </x:c>
      <x:c r="F18" t="str">
        <x:f>ActionQueue!G6</x:f>
        <x:v>Leadership decision needed</x:v>
      </x:c>
      <x:c r="G18" t="n">
        <x:f>ActionQueue!H6</x:f>
        <x:v>150</x:v>
      </x:c>
      <x:c r="H18" t="str">
        <x:f>ActionQueue!I6</x:f>
        <x:v>Review / act</x:v>
      </x:c>
    </x:row>
    <x:row r="19">
      <x:c r="A19" s="42" t="n">
        <x:v>6</x:v>
      </x:c>
      <x:c r="B19" t="str">
        <x:f>ActionQueue!C7</x:f>
        <x:v>SAMPLE — Community Services Grant</x:v>
      </x:c>
      <x:c r="C19" t="str">
        <x:f>ActionQueue!D7</x:f>
        <x:v>Obtain current finance data</x:v>
      </x:c>
      <x:c r="D19" t="str">
        <x:f>ActionQueue!E7</x:f>
        <x:v>Finance Lead</x:v>
      </x:c>
      <x:c r="E19" s="10" t="n">
        <x:f>ActionQueue!F7</x:f>
        <x:v>46276</x:v>
      </x:c>
      <x:c r="F19" t="str">
        <x:f>ActionQueue!G7</x:f>
        <x:v>Required for report</x:v>
      </x:c>
      <x:c r="G19" t="n">
        <x:f>ActionQueue!H7</x:f>
        <x:v>135</x:v>
      </x:c>
      <x:c r="H19" t="str">
        <x:f>ActionQueue!I7</x:f>
        <x:v>Monitor owner / escalate by rule</x:v>
      </x:c>
    </x:row>
    <x:row r="21">
      <x:c r="A21" s="5" t="str">
        <x:v>CONFIDENCE STATEMENT</x:v>
      </x:c>
      <x:c r="B21" s="5"/>
      <x:c r="C21" s="5"/>
      <x:c r="D21" s="5"/>
      <x:c r="E21" s="5"/>
      <x:c r="F21" s="5"/>
      <x:c r="G21" s="5"/>
      <x:c r="H21" s="5"/>
    </x:row>
    <x:row r="22">
      <x:c r="A22" s="46" t="str">
        <x:f>IF(B9+B10=0,"Nothing else currently requires your attention based on tracked data.","Attention remains required. Review the ranked queue and UNKNOWN/stale data before relying on the portfolio as fully current.")</x:f>
        <x:v>Attention remains required. Review the ranked queue and UNKNOWN/stale data before relying on the portfolio as fully current.</x:v>
      </x:c>
      <x:c r="B22" s="46"/>
      <x:c r="C22" s="46"/>
      <x:c r="D22" s="46"/>
      <x:c r="E22" s="46"/>
      <x:c r="F22" s="46"/>
      <x:c r="G22" s="46"/>
      <x:c r="H22" s="46"/>
    </x:row>
    <x:row r="23">
      <x:c r="A23" s="46"/>
      <x:c r="B23" s="46"/>
      <x:c r="C23" s="46"/>
      <x:c r="D23" s="46"/>
      <x:c r="E23" s="46"/>
      <x:c r="F23" s="46"/>
      <x:c r="G23" s="46"/>
      <x:c r="H23" s="46"/>
    </x:row>
    <x:row r="24">
      <x:c r="A24" s="46"/>
      <x:c r="B24" s="46"/>
      <x:c r="C24" s="46"/>
      <x:c r="D24" s="46"/>
      <x:c r="E24" s="46"/>
      <x:c r="F24" s="46"/>
      <x:c r="G24" s="46"/>
      <x:c r="H24" s="46"/>
    </x:row>
    <x:row r="26">
      <x:c r="A26" s="5" t="str">
        <x:v>Health Dimension</x:v>
      </x:c>
      <x:c r="B26" s="5" t="str">
        <x:v>G-001</x:v>
      </x:c>
      <x:c r="C26" s="5" t="str">
        <x:v>G-002</x:v>
      </x:c>
      <x:c r="D26" s="5" t="str">
        <x:v>G-003</x:v>
      </x:c>
      <x:c r="E26" s="5" t="str">
        <x:v>Meaning</x:v>
      </x:c>
      <x:c r="F26" s="5" t="str"/>
      <x:c r="G26" s="5" t="str"/>
      <x:c r="H26" s="5" t="str"/>
    </x:row>
    <x:row r="27">
      <x:c r="A27" s="34" t="str">
        <x:v>Deadline Health</x:v>
      </x:c>
      <x:c r="B27" t="str">
        <x:v>AT RISK</x:v>
      </x:c>
      <x:c r="C27" t="str">
        <x:v>WATCH</x:v>
      </x:c>
      <x:c r="D27" t="str">
        <x:v>HEALTHY</x:v>
      </x:c>
      <x:c r="E27" t="str">
        <x:v>Based on deadlines + dependencies</x:v>
      </x:c>
      <x:c r="F27" t="str"/>
      <x:c r="G27" t="str"/>
      <x:c r="H27" t="str"/>
    </x:row>
    <x:row r="28">
      <x:c r="A28" s="34" t="str">
        <x:v>Deliverable Health</x:v>
      </x:c>
      <x:c r="B28" t="str">
        <x:v>WATCH</x:v>
      </x:c>
      <x:c r="C28" t="str">
        <x:v>AT RISK</x:v>
      </x:c>
      <x:c r="D28" t="str">
        <x:v>HEALTHY</x:v>
      </x:c>
      <x:c r="E28" t="str">
        <x:v>Based on outcome trajectory</x:v>
      </x:c>
      <x:c r="F28" t="str"/>
      <x:c r="G28" t="str"/>
      <x:c r="H28" t="str"/>
    </x:row>
    <x:row r="29">
      <x:c r="A29" s="34" t="str">
        <x:v>Financial Health</x:v>
      </x:c>
      <x:c r="B29" s="39" t="str">
        <x:v>UNKNOWN</x:v>
      </x:c>
      <x:c r="C29" t="str">
        <x:v>HEALTHY</x:v>
      </x:c>
      <x:c r="D29" s="39" t="str">
        <x:v>UNKNOWN</x:v>
      </x:c>
      <x:c r="E29" t="str">
        <x:v>UNKNOWN is distinct from healthy</x:v>
      </x:c>
      <x:c r="F29" t="str"/>
      <x:c r="G29" t="str"/>
      <x:c r="H29" t="str"/>
    </x:row>
    <x:row r="30">
      <x:c r="A30" s="34" t="str">
        <x:v>Compliance Health</x:v>
      </x:c>
      <x:c r="B30" t="str">
        <x:v>AT RISK</x:v>
      </x:c>
      <x:c r="C30" t="str">
        <x:v>WATCH</x:v>
      </x:c>
      <x:c r="D30" t="str">
        <x:v>HEALTHY</x:v>
      </x:c>
      <x:c r="E30" t="str">
        <x:v>Based on verified obligations/evidence</x:v>
      </x:c>
      <x:c r="F30" t="str"/>
      <x:c r="G30" t="str"/>
      <x:c r="H30" t="str"/>
    </x:row>
    <x:row r="31">
      <x:c r="A31" s="34" t="str">
        <x:v>Data Confidence</x:v>
      </x:c>
      <x:c r="B31" t="str">
        <x:v>LOW</x:v>
      </x:c>
      <x:c r="C31" t="str">
        <x:v>MEDIUM</x:v>
      </x:c>
      <x:c r="D31" t="str">
        <x:v>LOW</x:v>
      </x:c>
      <x:c r="E31" t="str">
        <x:v>Based on freshness + missing sources</x:v>
      </x:c>
      <x:c r="F31" t="str"/>
      <x:c r="G31" t="str"/>
      <x:c r="H31" t="str"/>
    </x:row>
  </x:sheetData>
  <x:mergeCells>
    <x:mergeCell ref="A1:H2"/>
    <x:mergeCell ref="A4:H4"/>
    <x:mergeCell ref="D6:H6"/>
    <x:mergeCell ref="A12:H12"/>
    <x:mergeCell ref="A21:H21"/>
    <x:mergeCell ref="A22:H24"/>
  </x:mergeCells>
  <x:conditionalFormatting sqref="G14:G19">
    <x:cfRule type="cellIs" dxfId="2" priority="1" operator="greaterThanOrEqual">
      <x:formula>150</x:formula>
    </x:cfRule>
    <x:cfRule type="cellIs" dxfId="3" priority="2" operator="between">
      <x:formula>110</x:formula>
    </x:cfRule>
  </x:conditionalFormatting>
  <x:pageMargins left="0.7" right="0.7" top="0.75" bottom="0.75" header="0.3" footer="0.3"/>
</x:worksheet>
</file>